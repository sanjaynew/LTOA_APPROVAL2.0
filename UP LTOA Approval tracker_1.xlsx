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SanjayKumar-Regulato\Downloads\"/>
    </mc:Choice>
  </mc:AlternateContent>
  <xr:revisionPtr revIDLastSave="0" documentId="8_{6AC5B9E3-5806-403F-9841-546C4BE4B701}" xr6:coauthVersionLast="47" xr6:coauthVersionMax="47" xr10:uidLastSave="{00000000-0000-0000-0000-000000000000}"/>
  <bookViews>
    <workbookView xWindow="-110" yWindow="-110" windowWidth="19420" windowHeight="11500" tabRatio="599" firstSheet="2" activeTab="2" xr2:uid="{00000000-000D-0000-FFFF-FFFF00000000}"/>
  </bookViews>
  <sheets>
    <sheet name="All other" sheetId="1" state="hidden" r:id="rId1"/>
    <sheet name="Elin" sheetId="7" state="hidden" r:id="rId2"/>
    <sheet name="UP LTOA approvals" sheetId="2" r:id="rId3"/>
    <sheet name="UTCL STOA Cost" sheetId="10" r:id="rId4"/>
    <sheet name="NREPL-approval timeline" sheetId="5" state="hidden" r:id="rId5"/>
    <sheet name="Sheet1" sheetId="6" state="hidden" r:id="rId6"/>
    <sheet name="JSL Timeline" sheetId="3" state="hidden" r:id="rId7"/>
  </sheets>
  <definedNames>
    <definedName name="_xlnm._FilterDatabase" localSheetId="0" hidden="1">'All other'!$A$3:$T$7</definedName>
    <definedName name="_xlnm._FilterDatabase" localSheetId="2" hidden="1">'UP LTOA approvals'!$A$2:$AC$19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2" l="1"/>
  <c r="E17" i="2"/>
  <c r="J4" i="10"/>
  <c r="J3" i="10"/>
  <c r="J2" i="10"/>
  <c r="G10" i="10"/>
  <c r="F10" i="10"/>
  <c r="E10" i="10"/>
  <c r="D10" i="10"/>
  <c r="G5" i="10"/>
  <c r="F5" i="10"/>
  <c r="D5" i="10"/>
  <c r="E8" i="10"/>
  <c r="E4" i="10"/>
  <c r="E3" i="10"/>
  <c r="E5" i="10" s="1"/>
  <c r="F9" i="10"/>
  <c r="E15" i="2"/>
  <c r="E16" i="2"/>
  <c r="E14" i="2"/>
  <c r="C7" i="7"/>
  <c r="H19" i="1"/>
  <c r="H21" i="1"/>
  <c r="AC10" i="2" l="1"/>
  <c r="AB10" i="2"/>
  <c r="G11" i="2" l="1"/>
  <c r="G3" i="2"/>
  <c r="G10" i="2"/>
  <c r="G12" i="2"/>
  <c r="G5" i="2"/>
  <c r="G6" i="2"/>
  <c r="G7" i="2"/>
  <c r="G4" i="2"/>
  <c r="F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tc={D93D47B6-6841-480C-801D-3ABC25135320}</author>
    <author>tc={BBD4EBAD-C9D3-4D4A-8549-C1DC1B00A318}</author>
    <author>tc={7D7FAE1F-7C6C-44D1-93B1-98D5ED7D3031}</author>
  </authors>
  <commentList>
    <comment ref="N3" authorId="0" shapeId="0" xr:uid="{D93D47B6-6841-480C-801D-3ABC25135320}">
      <text>
        <t>[Threaded comment]
Your version of Excel allows you to read this threaded comment; however, any edits to it will get removed if the file is opened in a newer version of Excel. Learn more: https://go.microsoft.com/fwlink/?linkid=870924
Comment:
    Shared with CO team on 29 July 26</t>
      </text>
    </comment>
    <comment ref="O3" authorId="1" shapeId="0" xr:uid="{BBD4EBAD-C9D3-4D4A-8549-C1DC1B00A318}">
      <text>
        <t>[Threaded comment]
Your version of Excel allows you to read this threaded comment; however, any edits to it will get removed if the file is opened in a newer version of Excel. Learn more: https://go.microsoft.com/fwlink/?linkid=870924
Comment:
    SHARED WITH US ON 21 AUG</t>
      </text>
    </comment>
    <comment ref="N20" authorId="2" shapeId="0" xr:uid="{7D7FAE1F-7C6C-44D1-93B1-98D5ED7D3031}">
      <text>
        <t>[Threaded comment]
Your version of Excel allows you to read this threaded comment; however, any edits to it will get removed if the file is opened in a newer version of Excel. Learn more: https://go.microsoft.com/fwlink/?linkid=870924
Comment:
    Shared with us on 14 aug</t>
      </text>
    </comment>
  </commentList>
</comments>
</file>

<file path=xl/sharedStrings.xml><?xml version="1.0" encoding="utf-8"?>
<sst xmlns="http://schemas.openxmlformats.org/spreadsheetml/2006/main" count="381" uniqueCount="180">
  <si>
    <t>Sr. No.​</t>
  </si>
  <si>
    <t>Solar plant</t>
  </si>
  <si>
    <t>Consumer​</t>
  </si>
  <si>
    <t>DISCOM​</t>
  </si>
  <si>
    <t>MW
AC</t>
  </si>
  <si>
    <t>MWp
DC</t>
  </si>
  <si>
    <t>CD</t>
  </si>
  <si>
    <t>Feeder</t>
  </si>
  <si>
    <t>ABT Meter</t>
  </si>
  <si>
    <t>PPA Date</t>
  </si>
  <si>
    <t>OA-CA</t>
  </si>
  <si>
    <t>DISCOM NOC</t>
  </si>
  <si>
    <t>LT-2</t>
  </si>
  <si>
    <t>EE nomination</t>
  </si>
  <si>
    <t>BPTA</t>
  </si>
  <si>
    <t>UPSLDC Registration</t>
  </si>
  <si>
    <t>Remarks</t>
  </si>
  <si>
    <t>Anticipated Date for LTOA Power Delivery</t>
  </si>
  <si>
    <t>BD Team</t>
  </si>
  <si>
    <t>Consultant</t>
  </si>
  <si>
    <t>Process started on</t>
  </si>
  <si>
    <t>Deadline of power supply</t>
  </si>
  <si>
    <t>SS8PL-Pailani II</t>
  </si>
  <si>
    <t>Hilltop</t>
  </si>
  <si>
    <t>MVVNL</t>
  </si>
  <si>
    <t>Mixed</t>
  </si>
  <si>
    <t>Y</t>
  </si>
  <si>
    <t>Fee payment to UPSLDC pending, MRI data pending.
Equity infusion pending</t>
  </si>
  <si>
    <t>Amritesh</t>
  </si>
  <si>
    <t>Topnotch</t>
  </si>
  <si>
    <t>SS9PL-Mau</t>
  </si>
  <si>
    <t>Jaypee Healthcare</t>
  </si>
  <si>
    <t>PVVNL​</t>
  </si>
  <si>
    <t>Independent</t>
  </si>
  <si>
    <r>
      <t xml:space="preserve">Registration pending because consumer does not have valid CEIG certificate MRI data, 
</t>
    </r>
    <r>
      <rPr>
        <b/>
        <sz val="11"/>
        <color theme="1"/>
        <rFont val="Calibri "/>
      </rPr>
      <t>Constraints because of Name change</t>
    </r>
  </si>
  <si>
    <t>Paurush</t>
  </si>
  <si>
    <t>WCL- Signatory changed</t>
  </si>
  <si>
    <t>delay in providing signed letters</t>
  </si>
  <si>
    <t>LT-1 Application</t>
  </si>
  <si>
    <t>SS5PL-Pinahat</t>
  </si>
  <si>
    <t>Elin</t>
  </si>
  <si>
    <t>Request letter fod DISCOM NOC sent</t>
  </si>
  <si>
    <t xml:space="preserve">Request letter for DISCOM NOC received on </t>
  </si>
  <si>
    <t>Request for LT-1 fee payment</t>
  </si>
  <si>
    <t>LT-1 fee payment</t>
  </si>
  <si>
    <t>LT-1 application</t>
  </si>
  <si>
    <t>pending</t>
  </si>
  <si>
    <t>Sr.no.</t>
  </si>
  <si>
    <t>SPV</t>
  </si>
  <si>
    <t>Location</t>
  </si>
  <si>
    <t>Consumer</t>
  </si>
  <si>
    <t>Capacity (MWp)</t>
  </si>
  <si>
    <t>Tariff (INR / Unit)</t>
  </si>
  <si>
    <t>Capacity (MW)</t>
  </si>
  <si>
    <t>DISCOM</t>
  </si>
  <si>
    <t>S/s</t>
  </si>
  <si>
    <t>SLD</t>
  </si>
  <si>
    <t>CEIG</t>
  </si>
  <si>
    <t xml:space="preserve">LTOA PPA </t>
  </si>
  <si>
    <t>EE Nomination</t>
  </si>
  <si>
    <t>BPTA/BPWA</t>
  </si>
  <si>
    <t>Consumer Registration</t>
  </si>
  <si>
    <t>Power Delivery</t>
  </si>
  <si>
    <t>WBA</t>
  </si>
  <si>
    <t>End Date</t>
  </si>
  <si>
    <t>Netra Renewable Energy Pvt Ltd</t>
  </si>
  <si>
    <t>Erach</t>
  </si>
  <si>
    <t>Max Square Ltd</t>
  </si>
  <si>
    <r>
      <t>PVVNL</t>
    </r>
    <r>
      <rPr>
        <sz val="11"/>
        <color rgb="FF141313"/>
        <rFont val="Calibri "/>
      </rPr>
      <t>​</t>
    </r>
  </si>
  <si>
    <t>33kV
Mixed</t>
  </si>
  <si>
    <t>-</t>
  </si>
  <si>
    <t>STOA power supply</t>
  </si>
  <si>
    <t>AR Electro</t>
  </si>
  <si>
    <t>PO Pending</t>
  </si>
  <si>
    <t>Apollo Coated Products</t>
  </si>
  <si>
    <t>33kV
Independent</t>
  </si>
  <si>
    <t>Bisleri International Ltd</t>
  </si>
  <si>
    <t>LG Electronics</t>
  </si>
  <si>
    <t>NPCL</t>
  </si>
  <si>
    <t>GK Winding Wires</t>
  </si>
  <si>
    <t>SIFY Infinit Spaces Ltd</t>
  </si>
  <si>
    <t>Multiple queries in LTOA consumer registration application
STOA power supply from 1st June for 14 MW</t>
  </si>
  <si>
    <t>INOX Air Products Ltd</t>
  </si>
  <si>
    <t>STOA Power supply</t>
  </si>
  <si>
    <t>Kartikeya</t>
  </si>
  <si>
    <t>International Tobacco</t>
  </si>
  <si>
    <t>EE nomination pending</t>
  </si>
  <si>
    <t>7 months from 1st equity</t>
  </si>
  <si>
    <t>Jakson Engineers Ltd</t>
  </si>
  <si>
    <t>33/11 EES 10 S/s Gr Noida</t>
  </si>
  <si>
    <t>11kV
Independent</t>
  </si>
  <si>
    <t>LT-1 submitted with UPPTCL</t>
  </si>
  <si>
    <t>Haldiram C-1</t>
  </si>
  <si>
    <t>132 kV s/s Sec 67 Noida</t>
  </si>
  <si>
    <t>Vinod</t>
  </si>
  <si>
    <t>SKVR</t>
  </si>
  <si>
    <t xml:space="preserve">  </t>
  </si>
  <si>
    <t>Sunsure Energy Pvt Ltd</t>
  </si>
  <si>
    <t>Charkhari</t>
  </si>
  <si>
    <t>UTCL-Aligarh</t>
  </si>
  <si>
    <t>DVVNL</t>
  </si>
  <si>
    <t>132 kV 
Independent</t>
  </si>
  <si>
    <t>Yes
8.5 MVA, to be revised</t>
  </si>
  <si>
    <t>Vinod Sir</t>
  </si>
  <si>
    <t>UTCL-Dadri</t>
  </si>
  <si>
    <t>PVVNL</t>
  </si>
  <si>
    <t>Yes, to be revised
14 MVA</t>
  </si>
  <si>
    <t>UTCL-Shahjahanpur</t>
  </si>
  <si>
    <t>Yes, to be revised
12 MVA</t>
  </si>
  <si>
    <t>Sunsure Solarpark Five Pvt Ltd</t>
  </si>
  <si>
    <t>Pinahat</t>
  </si>
  <si>
    <t>Elin Electronics Ltd</t>
  </si>
  <si>
    <t>Sunsure Solarpark Six Pvt Ltd</t>
  </si>
  <si>
    <t>Augasi</t>
  </si>
  <si>
    <t>Wonder Cement Ltd</t>
  </si>
  <si>
    <t>Sunsure Solarpark Sixteen Pvt Ltd</t>
  </si>
  <si>
    <t>Gursarai</t>
  </si>
  <si>
    <t>33/11KV, A BLOCK HOSIERYCOMPLEX SUBSTATION</t>
  </si>
  <si>
    <t>11kV
Mixed</t>
  </si>
  <si>
    <t>Minda Corporation Ltd</t>
  </si>
  <si>
    <t>BPTA, AMR awaited</t>
  </si>
  <si>
    <t>Pre Requisites</t>
  </si>
  <si>
    <t>Consultancy Cost</t>
  </si>
  <si>
    <t>GST</t>
  </si>
  <si>
    <t>Statutory Fee</t>
  </si>
  <si>
    <t>Total Cost for One unit and One month</t>
  </si>
  <si>
    <t>ST-11 NOCs</t>
  </si>
  <si>
    <t>Total Cost for three unit and One month</t>
  </si>
  <si>
    <t>UPSLDC-R annual registration (Intra State)</t>
  </si>
  <si>
    <t>Total Cost for three unit and Four month</t>
  </si>
  <si>
    <t>Total</t>
  </si>
  <si>
    <t>STOA transaction cost per month per unit</t>
  </si>
  <si>
    <t>Application cost</t>
  </si>
  <si>
    <t>Daily operating charges (30 days)</t>
  </si>
  <si>
    <t>Bisleri
(PVVNL)</t>
  </si>
  <si>
    <t>Sify
(PVVNL)</t>
  </si>
  <si>
    <t>GK Winding
(NPCL)</t>
  </si>
  <si>
    <t>LG
(NPCL)</t>
  </si>
  <si>
    <t>Letter from UPPTCL to NPCL</t>
  </si>
  <si>
    <t>Not required</t>
  </si>
  <si>
    <t>LT-1</t>
  </si>
  <si>
    <t>BPTA EE nomination</t>
  </si>
  <si>
    <t>BPTA signing</t>
  </si>
  <si>
    <t>Final signing pending with UPPTCL</t>
  </si>
  <si>
    <t>Singing pending with NPCL</t>
  </si>
  <si>
    <t>eass</t>
  </si>
  <si>
    <t>upsldc-r</t>
  </si>
  <si>
    <t>registration date</t>
  </si>
  <si>
    <t>NREPL</t>
  </si>
  <si>
    <t>Intra-State</t>
  </si>
  <si>
    <t>ISTS</t>
  </si>
  <si>
    <t>SS16PL</t>
  </si>
  <si>
    <t>SS6PL</t>
  </si>
  <si>
    <t>SS5PL</t>
  </si>
  <si>
    <t>SS9PL</t>
  </si>
  <si>
    <t>Mau</t>
  </si>
  <si>
    <t>Approval</t>
  </si>
  <si>
    <t>Date</t>
  </si>
  <si>
    <t>Initial PPA</t>
  </si>
  <si>
    <t>LT-2 approved</t>
  </si>
  <si>
    <t>PPA amended</t>
  </si>
  <si>
    <t>LT-2 Cancellation Request Letter</t>
  </si>
  <si>
    <t>Scanned copy received on this date; original couriered to Lucknow.</t>
  </si>
  <si>
    <t>Interim Period</t>
  </si>
  <si>
    <r>
      <t xml:space="preserve">UPPTCL sought internal clarification on whether LT-2 could be cancelled after 45 days of issuance and whether transmission charges would apply if the 45-day window was extended. We followed up with them regularly. The review period extended over nearly two months (including Dussehra and Diwali holidays). UPPTCL ultimately concluded that no regulation or office order restricts LT-2 cancellation beyond 45 days from issuance. </t>
    </r>
    <r>
      <rPr>
        <i/>
        <sz val="10"/>
        <color theme="1"/>
        <rFont val="Calibri"/>
        <family val="2"/>
        <scheme val="minor"/>
      </rPr>
      <t xml:space="preserve">After reviewing the regulations, UPPTCL advised us to request </t>
    </r>
    <r>
      <rPr>
        <b/>
        <i/>
        <sz val="10"/>
        <color theme="1"/>
        <rFont val="Calibri"/>
        <family val="2"/>
        <scheme val="minor"/>
      </rPr>
      <t>capacity revision in the approved LT-2</t>
    </r>
    <r>
      <rPr>
        <i/>
        <sz val="10"/>
        <color theme="1"/>
        <rFont val="Calibri"/>
        <family val="2"/>
        <scheme val="minor"/>
      </rPr>
      <t xml:space="preserve"> instead of pursuing cancellation and resubmitting LT-1.</t>
    </r>
  </si>
  <si>
    <t>LT-2 quantum revision requested on</t>
  </si>
  <si>
    <t>LT-2 revised</t>
  </si>
  <si>
    <t xml:space="preserve">Draft letters reagrding BPTA </t>
  </si>
  <si>
    <t>Scanned copy of BPTA request letters as received from JSL</t>
  </si>
  <si>
    <t>EE nomination for BPTA signing</t>
  </si>
  <si>
    <t>JSL had billing/accounting issues with PVVNL which delayed the nomination of the Executive Engineer (EE). The EE nomination was completed after resolution of the billing issue.</t>
  </si>
  <si>
    <t>BPTA signed and executed</t>
  </si>
  <si>
    <t>BPTA signed by all three parties in submitted to UPPTCL</t>
  </si>
  <si>
    <t>UPSLDC consumer registration</t>
  </si>
  <si>
    <t>Second week of March 26</t>
  </si>
  <si>
    <t>SCOD</t>
  </si>
  <si>
    <t>5 months from the date of first tranche of equity infusion</t>
  </si>
  <si>
    <t>As per Clause 4.3 of the original PPA; clause remains unchanged in the amended PPA.</t>
  </si>
  <si>
    <t>Grace period</t>
  </si>
  <si>
    <t>One month from SCOD or revised SCOD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</si>
</sst>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_ * #,##0_ ;_ * \-#,##0_ ;_ * &quot;-&quot;??_ ;_ @_ "/>
    <numFmt numFmtId="166" formatCode="_ [$₹-4009]\ * #,##0_ ;_ [$₹-4009]\ * \-#,##0_ ;_ [$₹-4009]\ * &quot;-&quot;??_ ;_ @_ "/>
  </numFmts>
  <fonts count="16">
    <font>
      <sz val="11"/>
      <color theme="1"/>
      <name val="Calibri"/>
      <family val="2"/>
      <scheme val="minor"/>
    </font>
    <font>
      <sz val="11"/>
      <color theme="1"/>
      <name val="Calibri"/>
      <family val="2"/>
      <scheme val="minor"/>
    </font>
    <font>
      <b/>
      <sz val="10"/>
      <color rgb="FF000000"/>
      <name val="Inherit"/>
    </font>
    <font>
      <sz val="10"/>
      <color theme="1"/>
      <name val="Calibri"/>
      <family val="2"/>
      <scheme val="minor"/>
    </font>
    <font>
      <sz val="10"/>
      <color rgb="FF000000"/>
      <name val="Aptos"/>
      <family val="2"/>
    </font>
    <font>
      <i/>
      <sz val="10"/>
      <color theme="1"/>
      <name val="Calibri"/>
      <family val="2"/>
      <scheme val="minor"/>
    </font>
    <font>
      <b/>
      <i/>
      <sz val="10"/>
      <color theme="1"/>
      <name val="Calibri"/>
      <family val="2"/>
      <scheme val="minor"/>
    </font>
    <font>
      <b/>
      <sz val="11"/>
      <color theme="1"/>
      <name val="Calibri"/>
      <family val="2"/>
      <scheme val="minor"/>
    </font>
    <font>
      <sz val="11"/>
      <color theme="1"/>
      <name val="Calibri "/>
    </font>
    <font>
      <sz val="11"/>
      <color rgb="FF000000"/>
      <name val="Calibri "/>
    </font>
    <font>
      <b/>
      <sz val="11"/>
      <color rgb="FFFFFFFF"/>
      <name val="Calibri "/>
    </font>
    <font>
      <sz val="11"/>
      <color theme="0"/>
      <name val="Calibri "/>
    </font>
    <font>
      <sz val="11"/>
      <color rgb="FFFF0000"/>
      <name val="Calibri "/>
    </font>
    <font>
      <b/>
      <sz val="11"/>
      <color theme="1"/>
      <name val="Calibri "/>
    </font>
    <font>
      <sz val="11"/>
      <color rgb="FF141313"/>
      <name val="Calibri "/>
    </font>
    <font>
      <sz val="11"/>
      <color rgb="FF000000"/>
      <name val="Calibri"/>
      <family val="2"/>
      <scheme val="minor"/>
    </font>
  </fonts>
  <fills count="9">
    <fill>
      <patternFill patternType="none"/>
    </fill>
    <fill>
      <patternFill patternType="gray125"/>
    </fill>
    <fill>
      <patternFill patternType="solid">
        <fgColor theme="6" tint="0.79998168889431442"/>
        <bgColor indexed="65"/>
      </patternFill>
    </fill>
    <fill>
      <patternFill patternType="solid">
        <fgColor rgb="FFFFFF00"/>
        <bgColor indexed="64"/>
      </patternFill>
    </fill>
    <fill>
      <patternFill patternType="solid">
        <fgColor rgb="FFFFFFFF"/>
        <bgColor indexed="64"/>
      </patternFill>
    </fill>
    <fill>
      <patternFill patternType="solid">
        <fgColor rgb="FFC00000"/>
        <bgColor indexed="64"/>
      </patternFill>
    </fill>
    <fill>
      <patternFill patternType="solid">
        <fgColor rgb="FF92D050"/>
        <bgColor indexed="64"/>
      </patternFill>
    </fill>
    <fill>
      <patternFill patternType="solid">
        <fgColor rgb="FFFF0000"/>
        <bgColor indexed="64"/>
      </patternFill>
    </fill>
    <fill>
      <patternFill patternType="solid">
        <fgColor theme="5"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164" fontId="1" fillId="0" borderId="0" applyFont="0" applyFill="0" applyBorder="0" applyAlignment="0" applyProtection="0"/>
    <xf numFmtId="0" fontId="1" fillId="2" borderId="0" applyNumberFormat="0" applyBorder="0" applyAlignment="0" applyProtection="0"/>
  </cellStyleXfs>
  <cellXfs count="82">
    <xf numFmtId="0" fontId="0" fillId="0" borderId="0" xfId="0"/>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3" fillId="0" borderId="0" xfId="0" applyFont="1"/>
    <xf numFmtId="0" fontId="4" fillId="4" borderId="5" xfId="0" applyFont="1" applyFill="1" applyBorder="1" applyAlignment="1">
      <alignment vertical="center" wrapText="1"/>
    </xf>
    <xf numFmtId="15" fontId="4" fillId="4" borderId="6" xfId="0" applyNumberFormat="1" applyFont="1" applyFill="1" applyBorder="1" applyAlignment="1">
      <alignment horizontal="left" vertical="center" wrapText="1"/>
    </xf>
    <xf numFmtId="0" fontId="4" fillId="4" borderId="6" xfId="0" applyFont="1" applyFill="1" applyBorder="1" applyAlignment="1">
      <alignment vertical="center" wrapText="1"/>
    </xf>
    <xf numFmtId="15" fontId="4" fillId="4" borderId="8" xfId="0" applyNumberFormat="1" applyFont="1" applyFill="1" applyBorder="1" applyAlignment="1">
      <alignment horizontal="left" vertical="center" wrapText="1"/>
    </xf>
    <xf numFmtId="0" fontId="4" fillId="4" borderId="8" xfId="0" applyFont="1" applyFill="1" applyBorder="1" applyAlignment="1">
      <alignment vertical="center" wrapText="1"/>
    </xf>
    <xf numFmtId="0" fontId="4" fillId="4" borderId="7" xfId="0" applyFont="1" applyFill="1" applyBorder="1" applyAlignment="1">
      <alignment vertical="center" wrapText="1"/>
    </xf>
    <xf numFmtId="0" fontId="4" fillId="4" borderId="1" xfId="0" applyFont="1" applyFill="1" applyBorder="1" applyAlignment="1">
      <alignment vertical="center" wrapText="1"/>
    </xf>
    <xf numFmtId="0" fontId="3" fillId="0" borderId="1" xfId="0" applyFont="1" applyBorder="1" applyAlignment="1">
      <alignment vertical="center" wrapText="1"/>
    </xf>
    <xf numFmtId="15" fontId="4" fillId="4" borderId="1" xfId="0" applyNumberFormat="1" applyFont="1" applyFill="1" applyBorder="1" applyAlignment="1">
      <alignment horizontal="left" vertical="center" wrapText="1"/>
    </xf>
    <xf numFmtId="0" fontId="3" fillId="0" borderId="1" xfId="0" applyFont="1" applyBorder="1"/>
    <xf numFmtId="0" fontId="0" fillId="0" borderId="1" xfId="0" applyBorder="1" applyAlignment="1">
      <alignment horizontal="center" vertical="center" wrapText="1"/>
    </xf>
    <xf numFmtId="0" fontId="0" fillId="0" borderId="0" xfId="0" applyAlignment="1">
      <alignment vertical="center"/>
    </xf>
    <xf numFmtId="0" fontId="0" fillId="0" borderId="0" xfId="0" applyAlignment="1">
      <alignment horizontal="left"/>
    </xf>
    <xf numFmtId="0" fontId="0" fillId="0" borderId="1" xfId="0" applyBorder="1" applyAlignment="1">
      <alignment horizontal="left" vertical="center" wrapText="1"/>
    </xf>
    <xf numFmtId="15" fontId="0" fillId="0" borderId="1" xfId="0" applyNumberForma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0" xfId="0" applyFont="1"/>
    <xf numFmtId="0" fontId="8" fillId="0" borderId="0" xfId="0" applyFont="1"/>
    <xf numFmtId="0" fontId="8" fillId="6" borderId="1" xfId="0" applyFont="1" applyFill="1" applyBorder="1" applyAlignment="1">
      <alignment horizontal="center" vertical="center"/>
    </xf>
    <xf numFmtId="15" fontId="8" fillId="0" borderId="1" xfId="0" applyNumberFormat="1" applyFont="1" applyBorder="1" applyAlignment="1">
      <alignment horizontal="center" vertical="center"/>
    </xf>
    <xf numFmtId="16" fontId="8" fillId="3" borderId="1" xfId="0" applyNumberFormat="1" applyFont="1" applyFill="1" applyBorder="1" applyAlignment="1">
      <alignment horizontal="center" vertical="center"/>
    </xf>
    <xf numFmtId="15" fontId="0" fillId="0" borderId="0" xfId="0" applyNumberFormat="1"/>
    <xf numFmtId="0" fontId="8" fillId="8" borderId="1" xfId="0" applyFont="1" applyFill="1" applyBorder="1" applyAlignment="1">
      <alignment horizontal="center" vertical="center" wrapText="1"/>
    </xf>
    <xf numFmtId="15" fontId="8" fillId="6" borderId="1" xfId="0" applyNumberFormat="1" applyFont="1" applyFill="1" applyBorder="1" applyAlignment="1">
      <alignment horizontal="center" vertical="center"/>
    </xf>
    <xf numFmtId="0" fontId="9" fillId="0" borderId="0" xfId="2" applyFont="1" applyFill="1" applyBorder="1" applyAlignment="1">
      <alignment horizontal="center" vertical="center" wrapText="1"/>
    </xf>
    <xf numFmtId="0" fontId="8" fillId="0" borderId="0" xfId="0" applyFont="1" applyAlignment="1">
      <alignment horizontal="center" vertical="center" wrapText="1"/>
    </xf>
    <xf numFmtId="164" fontId="8" fillId="0" borderId="0" xfId="1" applyFont="1" applyBorder="1" applyAlignment="1">
      <alignment horizontal="center" vertical="center" wrapText="1"/>
    </xf>
    <xf numFmtId="164" fontId="9" fillId="0" borderId="0" xfId="1" applyFont="1" applyBorder="1" applyAlignment="1">
      <alignment horizontal="center" vertical="center"/>
    </xf>
    <xf numFmtId="0" fontId="9" fillId="0" borderId="0" xfId="0" applyFont="1" applyAlignment="1">
      <alignment horizontal="center" vertical="center" wrapText="1"/>
    </xf>
    <xf numFmtId="0" fontId="8" fillId="0" borderId="0" xfId="0" applyFont="1" applyAlignment="1">
      <alignment horizontal="left" vertical="center" wrapText="1"/>
    </xf>
    <xf numFmtId="15" fontId="8" fillId="0" borderId="0" xfId="0" applyNumberFormat="1" applyFont="1" applyAlignment="1">
      <alignment horizontal="center" vertical="center" wrapText="1"/>
    </xf>
    <xf numFmtId="0" fontId="8" fillId="0" borderId="0" xfId="0" applyFont="1" applyAlignment="1">
      <alignment wrapText="1"/>
    </xf>
    <xf numFmtId="0" fontId="10" fillId="5" borderId="1" xfId="0" applyFont="1" applyFill="1" applyBorder="1" applyAlignment="1">
      <alignment horizontal="center" vertical="center" wrapText="1"/>
    </xf>
    <xf numFmtId="0" fontId="10" fillId="5" borderId="1" xfId="0" applyFont="1" applyFill="1" applyBorder="1" applyAlignment="1">
      <alignment vertical="center" wrapText="1"/>
    </xf>
    <xf numFmtId="0" fontId="10" fillId="5" borderId="2" xfId="0" applyFont="1" applyFill="1" applyBorder="1" applyAlignment="1">
      <alignment horizontal="center" vertical="center" wrapText="1"/>
    </xf>
    <xf numFmtId="0" fontId="9" fillId="0" borderId="1" xfId="2" applyFont="1" applyFill="1" applyBorder="1" applyAlignment="1">
      <alignment horizontal="center" vertical="center" wrapText="1"/>
    </xf>
    <xf numFmtId="0" fontId="8" fillId="0" borderId="1" xfId="0" applyFont="1" applyBorder="1" applyAlignment="1">
      <alignment horizontal="center" vertical="center" wrapText="1"/>
    </xf>
    <xf numFmtId="164" fontId="8" fillId="0" borderId="1" xfId="1" applyFont="1" applyBorder="1" applyAlignment="1">
      <alignment horizontal="center" vertical="center" wrapText="1"/>
    </xf>
    <xf numFmtId="164" fontId="8" fillId="0" borderId="1" xfId="1" applyFont="1" applyBorder="1" applyAlignment="1">
      <alignment horizontal="center" vertical="center"/>
    </xf>
    <xf numFmtId="164" fontId="9" fillId="0" borderId="1" xfId="1"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15" fontId="8" fillId="0" borderId="1" xfId="0" applyNumberFormat="1" applyFont="1" applyBorder="1" applyAlignment="1">
      <alignment horizontal="center" vertical="center" wrapText="1"/>
    </xf>
    <xf numFmtId="164" fontId="8" fillId="0" borderId="1" xfId="1" applyFont="1" applyFill="1" applyBorder="1" applyAlignment="1">
      <alignment horizontal="center" vertical="center" wrapText="1"/>
    </xf>
    <xf numFmtId="164" fontId="8" fillId="0" borderId="1" xfId="1" applyFont="1" applyFill="1" applyBorder="1" applyAlignment="1">
      <alignment horizontal="center" vertical="center"/>
    </xf>
    <xf numFmtId="0" fontId="11" fillId="7" borderId="1" xfId="0" applyFont="1" applyFill="1" applyBorder="1" applyAlignment="1">
      <alignment horizontal="center" vertical="center" wrapText="1"/>
    </xf>
    <xf numFmtId="15" fontId="12" fillId="0" borderId="1" xfId="0" applyNumberFormat="1" applyFont="1" applyBorder="1" applyAlignment="1">
      <alignment horizontal="left" vertical="center" wrapText="1"/>
    </xf>
    <xf numFmtId="17" fontId="8" fillId="0" borderId="1" xfId="0" applyNumberFormat="1" applyFont="1" applyBorder="1" applyAlignment="1">
      <alignment horizontal="center" vertical="center" wrapText="1"/>
    </xf>
    <xf numFmtId="0" fontId="8" fillId="0" borderId="0" xfId="0" applyFont="1" applyAlignment="1">
      <alignment horizontal="center" wrapText="1"/>
    </xf>
    <xf numFmtId="164" fontId="8" fillId="0" borderId="0" xfId="1" applyFont="1" applyAlignment="1">
      <alignment horizontal="center" vertical="center" wrapText="1"/>
    </xf>
    <xf numFmtId="164" fontId="8" fillId="0" borderId="0" xfId="1" applyFont="1" applyAlignment="1"/>
    <xf numFmtId="0" fontId="8" fillId="0" borderId="0" xfId="0" applyFont="1" applyAlignment="1">
      <alignment horizontal="center"/>
    </xf>
    <xf numFmtId="0" fontId="8" fillId="0" borderId="0" xfId="0" applyFont="1" applyAlignment="1">
      <alignment horizontal="left" wrapText="1"/>
    </xf>
    <xf numFmtId="15" fontId="8" fillId="0" borderId="0" xfId="0" applyNumberFormat="1" applyFont="1" applyAlignment="1">
      <alignment horizontal="center"/>
    </xf>
    <xf numFmtId="15" fontId="8" fillId="0" borderId="0" xfId="0" applyNumberFormat="1" applyFont="1" applyAlignment="1">
      <alignment horizontal="center" wrapText="1"/>
    </xf>
    <xf numFmtId="0" fontId="10" fillId="5" borderId="0" xfId="0" applyFont="1" applyFill="1" applyAlignment="1">
      <alignment horizontal="center" vertical="center" wrapText="1"/>
    </xf>
    <xf numFmtId="0" fontId="0" fillId="0" borderId="1" xfId="0" applyBorder="1"/>
    <xf numFmtId="0" fontId="7" fillId="0" borderId="1" xfId="0" applyFont="1" applyBorder="1"/>
    <xf numFmtId="0" fontId="8" fillId="0" borderId="0" xfId="0" applyFont="1" applyAlignment="1">
      <alignment horizontal="center" vertical="center"/>
    </xf>
    <xf numFmtId="17" fontId="8" fillId="6"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9" fillId="4" borderId="1" xfId="0" applyFont="1" applyFill="1" applyBorder="1" applyAlignment="1">
      <alignment horizontal="center" vertical="center" wrapText="1"/>
    </xf>
    <xf numFmtId="2" fontId="9" fillId="4" borderId="1" xfId="0" applyNumberFormat="1" applyFont="1" applyFill="1" applyBorder="1" applyAlignment="1">
      <alignment horizontal="center" vertical="center" wrapText="1"/>
    </xf>
    <xf numFmtId="0" fontId="10" fillId="5" borderId="11" xfId="0" applyFont="1" applyFill="1" applyBorder="1" applyAlignment="1">
      <alignment horizontal="center" vertical="center" wrapText="1"/>
    </xf>
    <xf numFmtId="2" fontId="8"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xf>
    <xf numFmtId="165" fontId="0" fillId="0" borderId="1" xfId="1" applyNumberFormat="1" applyFont="1" applyBorder="1"/>
    <xf numFmtId="166" fontId="0" fillId="0" borderId="1" xfId="0" applyNumberFormat="1" applyBorder="1"/>
    <xf numFmtId="166" fontId="7" fillId="0" borderId="0" xfId="0" applyNumberFormat="1" applyFont="1"/>
    <xf numFmtId="164" fontId="8" fillId="0" borderId="1" xfId="1" applyFont="1" applyBorder="1" applyAlignment="1">
      <alignment vertical="center" wrapText="1"/>
    </xf>
    <xf numFmtId="164" fontId="8" fillId="0" borderId="1" xfId="1" applyFont="1" applyFill="1" applyBorder="1" applyAlignment="1">
      <alignment vertical="center" wrapText="1"/>
    </xf>
    <xf numFmtId="164" fontId="8" fillId="0" borderId="0" xfId="1" applyFont="1" applyAlignment="1">
      <alignment vertical="center"/>
    </xf>
    <xf numFmtId="164" fontId="10" fillId="5" borderId="9" xfId="1" applyFont="1" applyFill="1" applyBorder="1" applyAlignment="1">
      <alignment vertical="center" wrapText="1"/>
    </xf>
    <xf numFmtId="164" fontId="9" fillId="4" borderId="1" xfId="1" applyFont="1" applyFill="1" applyBorder="1" applyAlignment="1">
      <alignment vertical="center" wrapText="1"/>
    </xf>
    <xf numFmtId="0" fontId="15" fillId="0" borderId="12" xfId="0" applyFont="1" applyBorder="1" applyAlignment="1">
      <alignment horizontal="justify" vertical="center"/>
    </xf>
  </cellXfs>
  <cellStyles count="3">
    <cellStyle name="20% - Accent3" xfId="2" builtinId="38"/>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egha Singh" id="{844BB809-FFB2-4249-93E0-88A000DCD542}" userId="S::megha.singh@sunsure.in::96712c1b-6352-42f3-bae4-1ce0b4e154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3" dT="2026-07-31T10:37:27.29" personId="{844BB809-FFB2-4249-93E0-88A000DCD542}" id="{D93D47B6-6841-480C-801D-3ABC25135320}">
    <text>Shared with CO team on 29 July 26</text>
  </threadedComment>
  <threadedComment ref="O3" dT="2026-08-26T12:58:46.05" personId="{844BB809-FFB2-4249-93E0-88A000DCD542}" id="{BBD4EBAD-C9D3-4D4A-8549-C1DC1B00A318}">
    <text>SHARED WITH US ON 21 AUG</text>
  </threadedComment>
  <threadedComment ref="N20" dT="2026-08-14T08:05:56.49" personId="{844BB809-FFB2-4249-93E0-88A000DCD542}" id="{7D7FAE1F-7C6C-44D1-93B1-98D5ED7D3031}">
    <text>Shared with us on 14 aug</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Z21"/>
  <sheetViews>
    <sheetView zoomScale="70" zoomScaleNormal="70" workbookViewId="0">
      <selection activeCell="G21" sqref="G21"/>
    </sheetView>
  </sheetViews>
  <sheetFormatPr defaultColWidth="8.7265625" defaultRowHeight="14"/>
  <cols>
    <col min="1" max="1" width="6.453125" style="36" customWidth="1"/>
    <col min="2" max="2" width="13.453125" style="53" customWidth="1"/>
    <col min="3" max="3" width="12.7265625" style="53" bestFit="1" customWidth="1"/>
    <col min="4" max="4" width="12.453125" style="53" customWidth="1"/>
    <col min="5" max="5" width="11.1796875" style="54" bestFit="1" customWidth="1"/>
    <col min="6" max="6" width="12.453125" style="55" customWidth="1"/>
    <col min="7" max="7" width="9.26953125" style="55" customWidth="1"/>
    <col min="8" max="8" width="14.54296875" style="55" bestFit="1" customWidth="1"/>
    <col min="9" max="9" width="13.7265625" style="56" customWidth="1"/>
    <col min="10" max="10" width="12.453125" style="53" customWidth="1"/>
    <col min="11" max="12" width="14.453125" style="56" bestFit="1" customWidth="1"/>
    <col min="13" max="13" width="10.7265625" style="53" bestFit="1" customWidth="1"/>
    <col min="14" max="14" width="16.1796875" style="53" bestFit="1" customWidth="1"/>
    <col min="15" max="15" width="11.7265625" style="53" bestFit="1" customWidth="1"/>
    <col min="16" max="16" width="13.7265625" style="53" customWidth="1"/>
    <col min="17" max="17" width="44" style="57" bestFit="1" customWidth="1"/>
    <col min="18" max="18" width="16.453125" style="30" customWidth="1"/>
    <col min="19" max="19" width="12.26953125" style="30" bestFit="1" customWidth="1"/>
    <col min="20" max="20" width="13.26953125" style="36" bestFit="1" customWidth="1"/>
    <col min="21" max="21" width="12.7265625" style="36" customWidth="1"/>
    <col min="22" max="22" width="18.453125" style="36" customWidth="1"/>
    <col min="23" max="23" width="8.7265625" style="36"/>
    <col min="24" max="24" width="5.26953125" style="36" bestFit="1" customWidth="1"/>
    <col min="25" max="25" width="12.453125" style="36" bestFit="1" customWidth="1"/>
    <col min="26" max="26" width="3.26953125" style="36" customWidth="1"/>
    <col min="27" max="27" width="6.453125" style="36" bestFit="1" customWidth="1"/>
    <col min="28" max="28" width="4.7265625" style="36" bestFit="1" customWidth="1"/>
    <col min="29" max="29" width="17.453125" style="36" bestFit="1" customWidth="1"/>
    <col min="30" max="30" width="26" style="36" bestFit="1" customWidth="1"/>
    <col min="31" max="31" width="78.7265625" style="36" bestFit="1" customWidth="1"/>
    <col min="32" max="32" width="7.7265625" style="36" bestFit="1" customWidth="1"/>
    <col min="33" max="33" width="9.7265625" style="36" bestFit="1" customWidth="1"/>
    <col min="34" max="34" width="3.453125" style="36" bestFit="1" customWidth="1"/>
    <col min="35" max="16384" width="8.7265625" style="36"/>
  </cols>
  <sheetData>
    <row r="1" spans="1:16380">
      <c r="A1" s="29"/>
      <c r="B1" s="29"/>
      <c r="C1" s="30"/>
      <c r="D1" s="30"/>
      <c r="E1" s="31"/>
      <c r="F1" s="32"/>
      <c r="G1" s="32"/>
      <c r="H1" s="32"/>
      <c r="I1" s="33"/>
      <c r="J1" s="30"/>
      <c r="K1" s="33"/>
      <c r="L1" s="33"/>
      <c r="M1" s="33"/>
      <c r="N1" s="33"/>
      <c r="O1" s="33"/>
      <c r="P1" s="33"/>
      <c r="Q1" s="34"/>
      <c r="S1" s="35"/>
      <c r="T1" s="30"/>
      <c r="U1" s="30"/>
      <c r="V1" s="30"/>
    </row>
    <row r="2" spans="1:16380">
      <c r="A2" s="29"/>
      <c r="B2" s="29"/>
      <c r="C2" s="30"/>
      <c r="D2" s="30"/>
      <c r="E2" s="31"/>
      <c r="F2" s="32"/>
      <c r="G2" s="32"/>
      <c r="H2" s="32"/>
      <c r="I2" s="33"/>
      <c r="J2" s="30"/>
      <c r="K2" s="33"/>
      <c r="L2" s="33"/>
      <c r="M2" s="33"/>
      <c r="N2" s="33"/>
      <c r="O2" s="33"/>
      <c r="P2" s="33"/>
      <c r="Q2" s="34"/>
      <c r="S2" s="35"/>
      <c r="T2" s="30"/>
      <c r="U2" s="30"/>
      <c r="V2" s="30"/>
    </row>
    <row r="3" spans="1:16380" ht="41.65" customHeight="1">
      <c r="A3" s="37" t="s">
        <v>0</v>
      </c>
      <c r="B3" s="38" t="s">
        <v>1</v>
      </c>
      <c r="C3" s="37" t="s">
        <v>2</v>
      </c>
      <c r="D3" s="37" t="s">
        <v>3</v>
      </c>
      <c r="E3" s="37" t="s">
        <v>4</v>
      </c>
      <c r="F3" s="37" t="s">
        <v>5</v>
      </c>
      <c r="G3" s="37" t="s">
        <v>6</v>
      </c>
      <c r="H3" s="37" t="s">
        <v>7</v>
      </c>
      <c r="I3" s="37" t="s">
        <v>8</v>
      </c>
      <c r="J3" s="37" t="s">
        <v>9</v>
      </c>
      <c r="K3" s="37" t="s">
        <v>10</v>
      </c>
      <c r="L3" s="37" t="s">
        <v>11</v>
      </c>
      <c r="M3" s="37" t="s">
        <v>12</v>
      </c>
      <c r="N3" s="37" t="s">
        <v>13</v>
      </c>
      <c r="O3" s="37" t="s">
        <v>14</v>
      </c>
      <c r="P3" s="37" t="s">
        <v>15</v>
      </c>
      <c r="Q3" s="37" t="s">
        <v>16</v>
      </c>
      <c r="R3" s="37" t="s">
        <v>17</v>
      </c>
      <c r="S3" s="39" t="s">
        <v>18</v>
      </c>
      <c r="T3" s="39" t="s">
        <v>19</v>
      </c>
      <c r="U3" s="39" t="s">
        <v>20</v>
      </c>
      <c r="V3" s="22" t="s">
        <v>21</v>
      </c>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row>
    <row r="4" spans="1:16380" ht="42">
      <c r="A4" s="40">
        <v>4</v>
      </c>
      <c r="B4" s="50" t="s">
        <v>22</v>
      </c>
      <c r="C4" s="50" t="s">
        <v>23</v>
      </c>
      <c r="D4" s="41" t="s">
        <v>24</v>
      </c>
      <c r="E4" s="42">
        <v>2.5</v>
      </c>
      <c r="F4" s="43">
        <f>E4*1.5</f>
        <v>3.75</v>
      </c>
      <c r="G4" s="43">
        <v>2.5</v>
      </c>
      <c r="H4" s="44" t="s">
        <v>25</v>
      </c>
      <c r="I4" s="45" t="s">
        <v>26</v>
      </c>
      <c r="J4" s="41"/>
      <c r="K4" s="23" t="s">
        <v>26</v>
      </c>
      <c r="L4" s="45"/>
      <c r="M4" s="41" t="s">
        <v>26</v>
      </c>
      <c r="N4" s="41"/>
      <c r="O4" s="41"/>
      <c r="P4" s="41"/>
      <c r="Q4" s="51" t="s">
        <v>27</v>
      </c>
      <c r="R4" s="47"/>
      <c r="S4" s="47" t="s">
        <v>28</v>
      </c>
      <c r="T4" s="41" t="s">
        <v>29</v>
      </c>
    </row>
    <row r="5" spans="1:16380" ht="42">
      <c r="A5" s="40">
        <v>5</v>
      </c>
      <c r="B5" s="50" t="s">
        <v>30</v>
      </c>
      <c r="C5" s="50" t="s">
        <v>31</v>
      </c>
      <c r="D5" s="41" t="s">
        <v>32</v>
      </c>
      <c r="E5" s="48">
        <v>2.67</v>
      </c>
      <c r="F5" s="49">
        <v>4</v>
      </c>
      <c r="G5" s="49">
        <v>3</v>
      </c>
      <c r="H5" s="44" t="s">
        <v>33</v>
      </c>
      <c r="I5" s="45" t="s">
        <v>26</v>
      </c>
      <c r="J5" s="41"/>
      <c r="K5" s="23" t="s">
        <v>26</v>
      </c>
      <c r="L5" s="45"/>
      <c r="M5" s="41" t="s">
        <v>26</v>
      </c>
      <c r="N5" s="41"/>
      <c r="O5" s="41"/>
      <c r="P5" s="41"/>
      <c r="Q5" s="46" t="s">
        <v>34</v>
      </c>
      <c r="R5" s="41"/>
      <c r="S5" s="47" t="s">
        <v>35</v>
      </c>
      <c r="T5" s="41" t="s">
        <v>29</v>
      </c>
    </row>
    <row r="6" spans="1:16380">
      <c r="A6" s="40"/>
      <c r="B6" s="41"/>
      <c r="C6" s="41"/>
      <c r="D6" s="41"/>
      <c r="E6" s="48"/>
      <c r="F6" s="49"/>
      <c r="G6" s="49"/>
      <c r="H6" s="44"/>
      <c r="I6" s="45"/>
      <c r="J6" s="41"/>
      <c r="K6" s="45"/>
      <c r="L6" s="45"/>
      <c r="M6" s="41"/>
      <c r="N6" s="41"/>
      <c r="O6" s="41"/>
      <c r="P6" s="41"/>
      <c r="Q6" s="46"/>
      <c r="R6" s="52"/>
      <c r="S6" s="47"/>
      <c r="T6" s="41"/>
    </row>
    <row r="7" spans="1:16380">
      <c r="B7" s="36"/>
      <c r="C7" s="36"/>
      <c r="D7" s="36"/>
      <c r="E7" s="53"/>
      <c r="F7" s="36"/>
      <c r="G7" s="36"/>
      <c r="H7" s="36"/>
      <c r="I7" s="36"/>
      <c r="J7" s="36"/>
      <c r="K7" s="36"/>
      <c r="L7" s="36"/>
      <c r="M7" s="36"/>
      <c r="N7" s="36"/>
      <c r="O7" s="36"/>
      <c r="P7" s="36"/>
      <c r="Q7" s="36"/>
      <c r="R7" s="36"/>
      <c r="S7" s="36"/>
    </row>
    <row r="10" spans="1:16380" ht="28">
      <c r="F10" s="55" t="s">
        <v>36</v>
      </c>
      <c r="G10" s="55" t="s">
        <v>37</v>
      </c>
      <c r="L10" s="56" t="s">
        <v>11</v>
      </c>
      <c r="M10" s="53" t="s">
        <v>38</v>
      </c>
    </row>
    <row r="11" spans="1:16380">
      <c r="L11" s="58">
        <v>46098</v>
      </c>
    </row>
    <row r="19" spans="8:8">
      <c r="H19" s="55">
        <f>600000*66%</f>
        <v>396000</v>
      </c>
    </row>
    <row r="21" spans="8:8">
      <c r="H21" s="55">
        <f>31*24*24%*2.2*1000</f>
        <v>392832.00000000006</v>
      </c>
    </row>
  </sheetData>
  <autoFilter ref="A3:T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894C-D7D2-4883-896B-ECDAB96F153B}">
  <dimension ref="B3:C22"/>
  <sheetViews>
    <sheetView topLeftCell="A10" workbookViewId="0">
      <selection activeCell="H23" sqref="H23"/>
    </sheetView>
  </sheetViews>
  <sheetFormatPr defaultColWidth="8.7265625" defaultRowHeight="14.5"/>
  <cols>
    <col min="2" max="2" width="52.453125" customWidth="1"/>
    <col min="3" max="3" width="13.1796875" bestFit="1" customWidth="1"/>
  </cols>
  <sheetData>
    <row r="3" spans="2:3" ht="28">
      <c r="B3" s="38" t="s">
        <v>1</v>
      </c>
      <c r="C3" s="41" t="s">
        <v>39</v>
      </c>
    </row>
    <row r="4" spans="2:3">
      <c r="B4" s="37" t="s">
        <v>2</v>
      </c>
      <c r="C4" s="41" t="s">
        <v>40</v>
      </c>
    </row>
    <row r="5" spans="2:3">
      <c r="B5" s="37" t="s">
        <v>3</v>
      </c>
      <c r="C5" s="41" t="s">
        <v>32</v>
      </c>
    </row>
    <row r="6" spans="2:3" ht="28">
      <c r="B6" s="37" t="s">
        <v>4</v>
      </c>
      <c r="C6" s="42">
        <v>1.135</v>
      </c>
    </row>
    <row r="7" spans="2:3" ht="28">
      <c r="B7" s="37" t="s">
        <v>5</v>
      </c>
      <c r="C7" s="43">
        <f>C6*1.5</f>
        <v>1.7025000000000001</v>
      </c>
    </row>
    <row r="8" spans="2:3">
      <c r="B8" s="37" t="s">
        <v>6</v>
      </c>
      <c r="C8" s="43">
        <v>3.5</v>
      </c>
    </row>
    <row r="9" spans="2:3">
      <c r="B9" s="37" t="s">
        <v>7</v>
      </c>
      <c r="C9" s="44" t="s">
        <v>33</v>
      </c>
    </row>
    <row r="10" spans="2:3">
      <c r="B10" s="37" t="s">
        <v>8</v>
      </c>
      <c r="C10" s="45" t="s">
        <v>26</v>
      </c>
    </row>
    <row r="11" spans="2:3">
      <c r="B11" s="37" t="s">
        <v>9</v>
      </c>
      <c r="C11" s="28">
        <v>45958</v>
      </c>
    </row>
    <row r="12" spans="2:3">
      <c r="B12" s="37" t="s">
        <v>10</v>
      </c>
      <c r="C12" s="28">
        <v>46021</v>
      </c>
    </row>
    <row r="13" spans="2:3">
      <c r="B13" s="53" t="s">
        <v>41</v>
      </c>
      <c r="C13" s="59">
        <v>45995</v>
      </c>
    </row>
    <row r="14" spans="2:3">
      <c r="B14" s="60" t="s">
        <v>42</v>
      </c>
      <c r="C14" s="26">
        <v>46024</v>
      </c>
    </row>
    <row r="15" spans="2:3">
      <c r="B15" s="60" t="s">
        <v>43</v>
      </c>
      <c r="C15" s="26">
        <v>46044</v>
      </c>
    </row>
    <row r="16" spans="2:3">
      <c r="B16" s="53" t="s">
        <v>44</v>
      </c>
      <c r="C16" s="59">
        <v>46045</v>
      </c>
    </row>
    <row r="17" spans="2:3">
      <c r="B17" s="37" t="s">
        <v>11</v>
      </c>
      <c r="C17" s="28">
        <v>45733</v>
      </c>
    </row>
    <row r="18" spans="2:3">
      <c r="B18" s="60" t="s">
        <v>45</v>
      </c>
      <c r="C18" s="28">
        <v>45733</v>
      </c>
    </row>
    <row r="19" spans="2:3">
      <c r="B19" s="37" t="s">
        <v>12</v>
      </c>
      <c r="C19" s="28">
        <v>45775</v>
      </c>
    </row>
    <row r="20" spans="2:3">
      <c r="B20" s="37" t="s">
        <v>13</v>
      </c>
      <c r="C20" s="28">
        <v>46176</v>
      </c>
    </row>
    <row r="21" spans="2:3">
      <c r="B21" s="37" t="s">
        <v>14</v>
      </c>
      <c r="C21" s="28">
        <v>46202</v>
      </c>
    </row>
    <row r="22" spans="2:3">
      <c r="B22" s="37" t="s">
        <v>15</v>
      </c>
      <c r="C22" s="25"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CA37-A581-4163-A619-3A1054EB8C9C}">
  <dimension ref="A1:AE20"/>
  <sheetViews>
    <sheetView tabSelected="1" zoomScale="60" zoomScaleNormal="60" workbookViewId="0">
      <pane xSplit="4" ySplit="2" topLeftCell="E3" activePane="bottomRight" state="frozen"/>
      <selection pane="topRight" activeCell="E1" sqref="E1"/>
      <selection pane="bottomLeft" activeCell="A3" sqref="A3"/>
      <selection pane="bottomRight" activeCell="W9" sqref="W9"/>
    </sheetView>
  </sheetViews>
  <sheetFormatPr defaultColWidth="8.7265625" defaultRowHeight="14"/>
  <cols>
    <col min="1" max="1" width="13.7265625" style="63" bestFit="1" customWidth="1"/>
    <col min="2" max="2" width="35.453125" style="63" customWidth="1"/>
    <col min="3" max="3" width="18.7265625" style="63" bestFit="1" customWidth="1"/>
    <col min="4" max="4" width="38" style="63" customWidth="1"/>
    <col min="5" max="5" width="18.7265625" style="63" customWidth="1"/>
    <col min="6" max="6" width="17.453125" style="63" customWidth="1"/>
    <col min="7" max="7" width="18.7265625" style="78" bestFit="1" customWidth="1"/>
    <col min="8" max="8" width="16.54296875" style="63" customWidth="1"/>
    <col min="9" max="9" width="56" style="63" customWidth="1"/>
    <col min="10" max="10" width="16.7265625" style="63" customWidth="1"/>
    <col min="11" max="11" width="15.26953125" style="63" customWidth="1"/>
    <col min="12" max="12" width="13.7265625" style="63" customWidth="1"/>
    <col min="13" max="13" width="13.1796875" style="63" customWidth="1"/>
    <col min="14" max="14" width="15.7265625" style="63" customWidth="1"/>
    <col min="15" max="15" width="23.1796875" style="63" customWidth="1"/>
    <col min="16" max="16" width="18.7265625" style="63" customWidth="1"/>
    <col min="17" max="17" width="14.26953125" style="63" customWidth="1"/>
    <col min="18" max="18" width="21.7265625" style="63" customWidth="1"/>
    <col min="19" max="19" width="17.81640625" style="63" customWidth="1"/>
    <col min="20" max="20" width="22.81640625" style="63" customWidth="1"/>
    <col min="21" max="21" width="18.26953125" style="63" customWidth="1"/>
    <col min="22" max="22" width="14.7265625" style="63" customWidth="1"/>
    <col min="23" max="23" width="34.26953125" style="30" customWidth="1"/>
    <col min="24" max="24" width="15.26953125" style="63" customWidth="1"/>
    <col min="25" max="25" width="19" style="63" bestFit="1" customWidth="1"/>
    <col min="26" max="26" width="12.81640625" style="63" bestFit="1" customWidth="1"/>
    <col min="27" max="27" width="25.1796875" style="63" bestFit="1" customWidth="1"/>
    <col min="28" max="28" width="6.7265625" style="63" bestFit="1" customWidth="1"/>
    <col min="29" max="29" width="4.54296875" style="63" bestFit="1" customWidth="1"/>
    <col min="30" max="30" width="13.26953125" style="63" bestFit="1" customWidth="1"/>
    <col min="31" max="16384" width="8.7265625" style="63"/>
  </cols>
  <sheetData>
    <row r="1" spans="1:31" ht="14.5" thickBot="1"/>
    <row r="2" spans="1:31" ht="28">
      <c r="A2" s="66" t="s">
        <v>47</v>
      </c>
      <c r="B2" s="66" t="s">
        <v>48</v>
      </c>
      <c r="C2" s="66" t="s">
        <v>49</v>
      </c>
      <c r="D2" s="66" t="s">
        <v>50</v>
      </c>
      <c r="E2" s="67" t="s">
        <v>51</v>
      </c>
      <c r="F2" s="70" t="s">
        <v>52</v>
      </c>
      <c r="G2" s="79" t="s">
        <v>53</v>
      </c>
      <c r="H2" s="66" t="s">
        <v>54</v>
      </c>
      <c r="I2" s="66" t="s">
        <v>55</v>
      </c>
      <c r="J2" s="66" t="s">
        <v>7</v>
      </c>
      <c r="K2" s="66" t="s">
        <v>8</v>
      </c>
      <c r="L2" s="66" t="s">
        <v>56</v>
      </c>
      <c r="M2" s="66" t="s">
        <v>57</v>
      </c>
      <c r="N2" s="66" t="s">
        <v>58</v>
      </c>
      <c r="O2" s="66" t="s">
        <v>10</v>
      </c>
      <c r="P2" s="66" t="s">
        <v>11</v>
      </c>
      <c r="Q2" s="66" t="s">
        <v>12</v>
      </c>
      <c r="R2" s="66" t="s">
        <v>59</v>
      </c>
      <c r="S2" s="66" t="s">
        <v>60</v>
      </c>
      <c r="T2" s="66" t="s">
        <v>61</v>
      </c>
      <c r="U2" s="66" t="s">
        <v>62</v>
      </c>
      <c r="V2" s="66" t="s">
        <v>63</v>
      </c>
      <c r="W2" s="66" t="s">
        <v>16</v>
      </c>
      <c r="X2" s="39" t="s">
        <v>18</v>
      </c>
      <c r="Y2" s="39" t="s">
        <v>19</v>
      </c>
      <c r="Z2" s="60" t="s">
        <v>20</v>
      </c>
      <c r="AA2" s="63" t="s">
        <v>64</v>
      </c>
    </row>
    <row r="3" spans="1:31" ht="28">
      <c r="A3" s="68">
        <v>1</v>
      </c>
      <c r="B3" s="68" t="s">
        <v>65</v>
      </c>
      <c r="C3" s="68" t="s">
        <v>66</v>
      </c>
      <c r="D3" s="68" t="s">
        <v>67</v>
      </c>
      <c r="E3" s="68">
        <v>5.5</v>
      </c>
      <c r="F3" s="68">
        <v>3.49</v>
      </c>
      <c r="G3" s="80">
        <f>E3/1.5</f>
        <v>3.6666666666666665</v>
      </c>
      <c r="H3" s="68" t="s">
        <v>68</v>
      </c>
      <c r="I3" s="68"/>
      <c r="J3" s="68" t="s">
        <v>69</v>
      </c>
      <c r="K3" s="23" t="s">
        <v>26</v>
      </c>
      <c r="L3" s="23" t="s">
        <v>26</v>
      </c>
      <c r="M3" s="23" t="s">
        <v>26</v>
      </c>
      <c r="N3" s="28">
        <v>46198</v>
      </c>
      <c r="O3" s="28">
        <v>46255</v>
      </c>
      <c r="P3" s="45" t="s">
        <v>70</v>
      </c>
      <c r="Q3" s="45" t="s">
        <v>70</v>
      </c>
      <c r="R3" s="45"/>
      <c r="S3" s="45" t="s">
        <v>70</v>
      </c>
      <c r="T3" s="45" t="s">
        <v>70</v>
      </c>
      <c r="U3" s="24">
        <v>46063</v>
      </c>
      <c r="V3" s="24"/>
      <c r="W3" s="41" t="s">
        <v>71</v>
      </c>
      <c r="X3" s="24" t="s">
        <v>35</v>
      </c>
      <c r="Y3" s="45" t="s">
        <v>72</v>
      </c>
      <c r="Z3" s="45"/>
      <c r="AD3" s="63" t="s">
        <v>73</v>
      </c>
    </row>
    <row r="4" spans="1:31" ht="28">
      <c r="A4" s="68">
        <v>2</v>
      </c>
      <c r="B4" s="68" t="s">
        <v>65</v>
      </c>
      <c r="C4" s="68" t="s">
        <v>66</v>
      </c>
      <c r="D4" s="68" t="s">
        <v>74</v>
      </c>
      <c r="E4" s="68">
        <v>11</v>
      </c>
      <c r="F4" s="68">
        <v>3.23</v>
      </c>
      <c r="G4" s="80">
        <f>E4/1.5</f>
        <v>7.333333333333333</v>
      </c>
      <c r="H4" s="68" t="s">
        <v>68</v>
      </c>
      <c r="I4" s="68"/>
      <c r="J4" s="68" t="s">
        <v>75</v>
      </c>
      <c r="K4" s="23" t="s">
        <v>26</v>
      </c>
      <c r="L4" s="23" t="s">
        <v>26</v>
      </c>
      <c r="M4" s="23" t="s">
        <v>26</v>
      </c>
      <c r="N4" s="28">
        <v>45440</v>
      </c>
      <c r="O4" s="28">
        <v>45904</v>
      </c>
      <c r="P4" s="28">
        <v>45946</v>
      </c>
      <c r="Q4" s="28">
        <v>45996</v>
      </c>
      <c r="R4" s="28">
        <v>46028</v>
      </c>
      <c r="S4" s="28">
        <v>46051</v>
      </c>
      <c r="T4" s="23" t="s">
        <v>26</v>
      </c>
      <c r="U4" s="24">
        <v>46072</v>
      </c>
      <c r="V4" s="28">
        <v>46189</v>
      </c>
      <c r="W4" s="41"/>
      <c r="X4" s="24" t="s">
        <v>35</v>
      </c>
      <c r="Y4" s="45" t="s">
        <v>72</v>
      </c>
      <c r="Z4" s="45"/>
    </row>
    <row r="5" spans="1:31" ht="28">
      <c r="A5" s="68">
        <v>3</v>
      </c>
      <c r="B5" s="68" t="s">
        <v>65</v>
      </c>
      <c r="C5" s="68" t="s">
        <v>66</v>
      </c>
      <c r="D5" s="68" t="s">
        <v>76</v>
      </c>
      <c r="E5" s="68">
        <v>2.5</v>
      </c>
      <c r="F5" s="68">
        <v>3.5</v>
      </c>
      <c r="G5" s="80">
        <f t="shared" ref="G5:G10" si="0">E5/1.5</f>
        <v>1.6666666666666667</v>
      </c>
      <c r="H5" s="68" t="s">
        <v>68</v>
      </c>
      <c r="I5" s="68"/>
      <c r="J5" s="68" t="s">
        <v>69</v>
      </c>
      <c r="K5" s="23" t="s">
        <v>26</v>
      </c>
      <c r="L5" s="23" t="s">
        <v>26</v>
      </c>
      <c r="M5" s="23" t="s">
        <v>26</v>
      </c>
      <c r="N5" s="28">
        <v>45930</v>
      </c>
      <c r="O5" s="64">
        <v>45962</v>
      </c>
      <c r="P5" s="28">
        <v>46044</v>
      </c>
      <c r="Q5" s="28">
        <v>46063</v>
      </c>
      <c r="R5" s="28">
        <v>46100</v>
      </c>
      <c r="S5" s="28">
        <v>46144</v>
      </c>
      <c r="T5" s="23" t="s">
        <v>26</v>
      </c>
      <c r="U5" s="24">
        <v>46174</v>
      </c>
      <c r="V5" s="28">
        <v>46224</v>
      </c>
      <c r="W5" s="41"/>
      <c r="X5" s="24" t="s">
        <v>28</v>
      </c>
      <c r="Y5" s="45" t="s">
        <v>72</v>
      </c>
      <c r="Z5" s="45"/>
    </row>
    <row r="6" spans="1:31" ht="28">
      <c r="A6" s="68">
        <v>4</v>
      </c>
      <c r="B6" s="68" t="s">
        <v>65</v>
      </c>
      <c r="C6" s="68" t="s">
        <v>66</v>
      </c>
      <c r="D6" s="68" t="s">
        <v>77</v>
      </c>
      <c r="E6" s="68">
        <v>11</v>
      </c>
      <c r="F6" s="68">
        <v>3.2</v>
      </c>
      <c r="G6" s="80">
        <f t="shared" si="0"/>
        <v>7.333333333333333</v>
      </c>
      <c r="H6" s="68" t="s">
        <v>78</v>
      </c>
      <c r="I6" s="68"/>
      <c r="J6" s="68" t="s">
        <v>75</v>
      </c>
      <c r="K6" s="23" t="s">
        <v>26</v>
      </c>
      <c r="L6" s="23" t="s">
        <v>26</v>
      </c>
      <c r="M6" s="23" t="s">
        <v>26</v>
      </c>
      <c r="N6" s="28">
        <v>46041</v>
      </c>
      <c r="O6" s="28">
        <v>46112</v>
      </c>
      <c r="P6" s="28">
        <v>46101</v>
      </c>
      <c r="Q6" s="28">
        <v>46128</v>
      </c>
      <c r="R6" s="23" t="s">
        <v>78</v>
      </c>
      <c r="S6" s="28">
        <v>46154</v>
      </c>
      <c r="T6" s="23" t="s">
        <v>26</v>
      </c>
      <c r="U6" s="24">
        <v>46160</v>
      </c>
      <c r="V6" s="28">
        <v>46189</v>
      </c>
      <c r="W6" s="41"/>
      <c r="X6" s="24" t="s">
        <v>28</v>
      </c>
      <c r="Y6" s="45" t="s">
        <v>29</v>
      </c>
      <c r="Z6" s="45"/>
    </row>
    <row r="7" spans="1:31" ht="28">
      <c r="A7" s="68">
        <v>5</v>
      </c>
      <c r="B7" s="68" t="s">
        <v>65</v>
      </c>
      <c r="C7" s="68" t="s">
        <v>66</v>
      </c>
      <c r="D7" s="68" t="s">
        <v>79</v>
      </c>
      <c r="E7" s="68">
        <v>2.5</v>
      </c>
      <c r="F7" s="68">
        <v>3.28</v>
      </c>
      <c r="G7" s="80">
        <f t="shared" si="0"/>
        <v>1.6666666666666667</v>
      </c>
      <c r="H7" s="68" t="s">
        <v>78</v>
      </c>
      <c r="I7" s="68"/>
      <c r="J7" s="68" t="s">
        <v>69</v>
      </c>
      <c r="K7" s="23" t="s">
        <v>26</v>
      </c>
      <c r="L7" s="23" t="s">
        <v>26</v>
      </c>
      <c r="M7" s="23" t="s">
        <v>26</v>
      </c>
      <c r="N7" s="28">
        <v>45978</v>
      </c>
      <c r="O7" s="28">
        <v>46093</v>
      </c>
      <c r="P7" s="28">
        <v>46090</v>
      </c>
      <c r="Q7" s="28">
        <v>46128</v>
      </c>
      <c r="R7" s="23" t="s">
        <v>78</v>
      </c>
      <c r="S7" s="28">
        <v>46175</v>
      </c>
      <c r="T7" s="23" t="s">
        <v>26</v>
      </c>
      <c r="U7" s="24">
        <v>46187</v>
      </c>
      <c r="V7" s="28">
        <v>46189</v>
      </c>
      <c r="W7" s="41"/>
      <c r="X7" s="24" t="s">
        <v>35</v>
      </c>
      <c r="Y7" s="45" t="s">
        <v>72</v>
      </c>
      <c r="Z7" s="45"/>
    </row>
    <row r="8" spans="1:31" ht="56">
      <c r="A8" s="68">
        <v>6</v>
      </c>
      <c r="B8" s="68" t="s">
        <v>65</v>
      </c>
      <c r="C8" s="68" t="s">
        <v>66</v>
      </c>
      <c r="D8" s="68" t="s">
        <v>80</v>
      </c>
      <c r="E8" s="68">
        <v>30</v>
      </c>
      <c r="F8" s="68">
        <v>3.24</v>
      </c>
      <c r="G8" s="80">
        <v>18</v>
      </c>
      <c r="H8" s="68" t="s">
        <v>68</v>
      </c>
      <c r="I8" s="68"/>
      <c r="J8" s="68" t="s">
        <v>69</v>
      </c>
      <c r="K8" s="23" t="s">
        <v>26</v>
      </c>
      <c r="L8" s="23" t="s">
        <v>26</v>
      </c>
      <c r="M8" s="23" t="s">
        <v>26</v>
      </c>
      <c r="N8" s="28">
        <v>46107</v>
      </c>
      <c r="O8" s="28">
        <v>46059</v>
      </c>
      <c r="P8" s="28">
        <v>46076</v>
      </c>
      <c r="Q8" s="28">
        <v>46140</v>
      </c>
      <c r="R8" s="28">
        <v>46176</v>
      </c>
      <c r="S8" s="28">
        <v>46206</v>
      </c>
      <c r="T8" s="25" t="s">
        <v>46</v>
      </c>
      <c r="U8" s="24">
        <v>46174</v>
      </c>
      <c r="V8" s="24"/>
      <c r="W8" s="41" t="s">
        <v>81</v>
      </c>
      <c r="X8" s="24" t="s">
        <v>28</v>
      </c>
      <c r="Y8" s="45" t="s">
        <v>29</v>
      </c>
      <c r="Z8" s="45"/>
    </row>
    <row r="9" spans="1:31" ht="28">
      <c r="A9" s="68">
        <v>7</v>
      </c>
      <c r="B9" s="68" t="s">
        <v>65</v>
      </c>
      <c r="C9" s="68" t="s">
        <v>66</v>
      </c>
      <c r="D9" s="68" t="s">
        <v>82</v>
      </c>
      <c r="E9" s="69">
        <v>4.2</v>
      </c>
      <c r="F9" s="69">
        <v>3.19</v>
      </c>
      <c r="G9" s="80">
        <v>4.2</v>
      </c>
      <c r="H9" s="68" t="s">
        <v>78</v>
      </c>
      <c r="I9" s="68"/>
      <c r="J9" s="68" t="s">
        <v>69</v>
      </c>
      <c r="K9" s="23" t="s">
        <v>26</v>
      </c>
      <c r="L9" s="23" t="s">
        <v>26</v>
      </c>
      <c r="M9" s="23" t="s">
        <v>26</v>
      </c>
      <c r="N9" s="28">
        <v>46083</v>
      </c>
      <c r="O9" s="28">
        <v>46167</v>
      </c>
      <c r="P9" s="28">
        <v>46143</v>
      </c>
      <c r="Q9" s="28">
        <v>46233</v>
      </c>
      <c r="R9" s="23" t="s">
        <v>78</v>
      </c>
      <c r="S9" s="45"/>
      <c r="T9" s="45"/>
      <c r="U9" s="24">
        <v>46192</v>
      </c>
      <c r="V9" s="24"/>
      <c r="W9" s="41" t="s">
        <v>83</v>
      </c>
      <c r="X9" s="24" t="s">
        <v>84</v>
      </c>
      <c r="Y9" s="45" t="s">
        <v>72</v>
      </c>
      <c r="Z9" s="45"/>
    </row>
    <row r="10" spans="1:31" ht="28">
      <c r="A10" s="68">
        <v>8</v>
      </c>
      <c r="B10" s="68" t="s">
        <v>65</v>
      </c>
      <c r="C10" s="68" t="s">
        <v>66</v>
      </c>
      <c r="D10" s="68" t="s">
        <v>85</v>
      </c>
      <c r="E10" s="68">
        <v>3.2</v>
      </c>
      <c r="F10" s="68">
        <v>3.26</v>
      </c>
      <c r="G10" s="80">
        <f t="shared" si="0"/>
        <v>2.1333333333333333</v>
      </c>
      <c r="H10" s="69" t="s">
        <v>32</v>
      </c>
      <c r="I10" s="69"/>
      <c r="J10" s="68" t="s">
        <v>75</v>
      </c>
      <c r="K10" s="23" t="s">
        <v>26</v>
      </c>
      <c r="L10" s="23" t="s">
        <v>26</v>
      </c>
      <c r="M10" s="23" t="s">
        <v>26</v>
      </c>
      <c r="N10" s="28">
        <v>46127</v>
      </c>
      <c r="O10" s="28">
        <v>45968</v>
      </c>
      <c r="P10" s="28">
        <v>46172</v>
      </c>
      <c r="Q10" s="28">
        <v>46207</v>
      </c>
      <c r="R10" s="28">
        <v>46237</v>
      </c>
      <c r="S10" s="28">
        <v>46252</v>
      </c>
      <c r="T10" s="45"/>
      <c r="U10" s="24">
        <v>46266</v>
      </c>
      <c r="V10" s="24"/>
      <c r="W10" s="41" t="s">
        <v>86</v>
      </c>
      <c r="X10" s="24" t="s">
        <v>35</v>
      </c>
      <c r="Y10" s="45" t="s">
        <v>72</v>
      </c>
      <c r="Z10" s="24">
        <v>46154</v>
      </c>
      <c r="AA10" s="63" t="s">
        <v>87</v>
      </c>
      <c r="AB10" s="63">
        <f>389*3/2</f>
        <v>583.5</v>
      </c>
      <c r="AC10" s="63">
        <f>348*3/2</f>
        <v>522</v>
      </c>
    </row>
    <row r="11" spans="1:31" ht="28.5" thickBot="1">
      <c r="A11" s="68">
        <v>9</v>
      </c>
      <c r="B11" s="68" t="s">
        <v>65</v>
      </c>
      <c r="C11" s="68" t="s">
        <v>66</v>
      </c>
      <c r="D11" s="68" t="s">
        <v>88</v>
      </c>
      <c r="E11" s="68">
        <v>3.5</v>
      </c>
      <c r="F11" s="68">
        <v>3.35</v>
      </c>
      <c r="G11" s="80">
        <f>E11/1.5</f>
        <v>2.3333333333333335</v>
      </c>
      <c r="H11" s="68" t="s">
        <v>78</v>
      </c>
      <c r="I11" s="41" t="s">
        <v>89</v>
      </c>
      <c r="J11" s="41" t="s">
        <v>90</v>
      </c>
      <c r="K11" s="65"/>
      <c r="L11" s="65"/>
      <c r="M11" s="45"/>
      <c r="N11" s="28">
        <v>46094</v>
      </c>
      <c r="O11" s="25" t="s">
        <v>46</v>
      </c>
      <c r="P11" s="45"/>
      <c r="Q11" s="45"/>
      <c r="R11" s="45"/>
      <c r="S11" s="45"/>
      <c r="T11" s="45"/>
      <c r="U11" s="24">
        <v>46327</v>
      </c>
      <c r="V11" s="24"/>
      <c r="W11" s="41" t="s">
        <v>91</v>
      </c>
      <c r="X11" s="24" t="s">
        <v>35</v>
      </c>
      <c r="Y11" s="45" t="s">
        <v>29</v>
      </c>
      <c r="Z11" s="45"/>
      <c r="AE11" s="63" t="s">
        <v>73</v>
      </c>
    </row>
    <row r="12" spans="1:31" ht="28.5" thickBot="1">
      <c r="A12" s="68">
        <v>10</v>
      </c>
      <c r="B12" s="68" t="s">
        <v>65</v>
      </c>
      <c r="C12" s="68" t="s">
        <v>66</v>
      </c>
      <c r="D12" s="68" t="s">
        <v>92</v>
      </c>
      <c r="E12" s="68">
        <v>7</v>
      </c>
      <c r="F12" s="68">
        <v>3.39</v>
      </c>
      <c r="G12" s="80">
        <f>E12/1.5</f>
        <v>4.666666666666667</v>
      </c>
      <c r="H12" s="68" t="s">
        <v>32</v>
      </c>
      <c r="I12" s="81" t="s">
        <v>93</v>
      </c>
      <c r="J12" s="68" t="s">
        <v>69</v>
      </c>
      <c r="K12" s="23" t="s">
        <v>26</v>
      </c>
      <c r="L12" s="23" t="s">
        <v>26</v>
      </c>
      <c r="M12" s="65"/>
      <c r="N12" s="28">
        <v>45845</v>
      </c>
      <c r="O12" s="28">
        <v>46244</v>
      </c>
      <c r="P12" s="28">
        <v>46244</v>
      </c>
      <c r="Q12" s="45"/>
      <c r="R12" s="45"/>
      <c r="S12" s="45"/>
      <c r="T12" s="45"/>
      <c r="U12" s="45"/>
      <c r="V12" s="45"/>
      <c r="W12" s="41"/>
      <c r="X12" s="24" t="s">
        <v>94</v>
      </c>
      <c r="Y12" s="45" t="s">
        <v>29</v>
      </c>
      <c r="Z12" s="45"/>
      <c r="AE12" s="63" t="s">
        <v>73</v>
      </c>
    </row>
    <row r="13" spans="1:31" ht="33.65" customHeight="1">
      <c r="A13" s="68">
        <v>11</v>
      </c>
      <c r="B13" s="68" t="s">
        <v>65</v>
      </c>
      <c r="C13" s="68" t="s">
        <v>66</v>
      </c>
      <c r="D13" s="68" t="s">
        <v>95</v>
      </c>
      <c r="E13" s="68">
        <v>6.3</v>
      </c>
      <c r="F13" s="68">
        <v>3.19</v>
      </c>
      <c r="G13" s="80">
        <v>2</v>
      </c>
      <c r="H13" s="68" t="s">
        <v>32</v>
      </c>
      <c r="I13" s="68"/>
      <c r="J13" s="68"/>
      <c r="K13" s="65"/>
      <c r="L13" s="65"/>
      <c r="M13" s="65"/>
      <c r="N13" s="28">
        <v>46006</v>
      </c>
      <c r="O13" s="25" t="s">
        <v>46</v>
      </c>
      <c r="P13" s="65"/>
      <c r="Q13" s="45"/>
      <c r="R13" s="45" t="s">
        <v>96</v>
      </c>
      <c r="S13" s="45"/>
      <c r="T13" s="45"/>
      <c r="U13" s="45"/>
      <c r="V13" s="45"/>
      <c r="W13" s="41"/>
      <c r="X13" s="24" t="s">
        <v>28</v>
      </c>
      <c r="Y13" s="45" t="s">
        <v>29</v>
      </c>
      <c r="Z13" s="45"/>
    </row>
    <row r="14" spans="1:31" ht="28">
      <c r="A14" s="68">
        <v>12</v>
      </c>
      <c r="B14" s="45" t="s">
        <v>97</v>
      </c>
      <c r="C14" s="45" t="s">
        <v>98</v>
      </c>
      <c r="D14" s="41" t="s">
        <v>99</v>
      </c>
      <c r="E14" s="41">
        <f>G14*1.5</f>
        <v>30</v>
      </c>
      <c r="F14" s="68">
        <v>2.95</v>
      </c>
      <c r="G14" s="76">
        <v>20</v>
      </c>
      <c r="H14" s="41" t="s">
        <v>100</v>
      </c>
      <c r="I14" s="41"/>
      <c r="J14" s="41" t="s">
        <v>101</v>
      </c>
      <c r="K14" s="23" t="s">
        <v>26</v>
      </c>
      <c r="L14" s="23" t="s">
        <v>26</v>
      </c>
      <c r="M14" s="23" t="s">
        <v>26</v>
      </c>
      <c r="N14" s="28">
        <v>46099</v>
      </c>
      <c r="O14" s="27" t="s">
        <v>102</v>
      </c>
      <c r="P14" s="28">
        <v>46176</v>
      </c>
      <c r="Q14" s="25" t="s">
        <v>46</v>
      </c>
      <c r="R14" s="45"/>
      <c r="S14" s="45"/>
      <c r="T14" s="45"/>
      <c r="U14" s="45"/>
      <c r="V14" s="45"/>
      <c r="W14" s="41"/>
      <c r="X14" s="45" t="s">
        <v>103</v>
      </c>
      <c r="Y14" s="45" t="s">
        <v>29</v>
      </c>
      <c r="Z14" s="45"/>
    </row>
    <row r="15" spans="1:31" ht="28">
      <c r="A15" s="68">
        <v>13</v>
      </c>
      <c r="B15" s="45" t="s">
        <v>97</v>
      </c>
      <c r="C15" s="45" t="s">
        <v>98</v>
      </c>
      <c r="D15" s="41" t="s">
        <v>104</v>
      </c>
      <c r="E15" s="41">
        <f t="shared" ref="E15:E16" si="1">G15*1.5</f>
        <v>12</v>
      </c>
      <c r="F15" s="68">
        <v>2.95</v>
      </c>
      <c r="G15" s="76">
        <v>8</v>
      </c>
      <c r="H15" s="41" t="s">
        <v>105</v>
      </c>
      <c r="I15" s="41"/>
      <c r="J15" s="41" t="s">
        <v>101</v>
      </c>
      <c r="K15" s="23" t="s">
        <v>26</v>
      </c>
      <c r="L15" s="23" t="s">
        <v>26</v>
      </c>
      <c r="M15" s="23" t="s">
        <v>26</v>
      </c>
      <c r="N15" s="28">
        <v>46100</v>
      </c>
      <c r="O15" s="27" t="s">
        <v>106</v>
      </c>
      <c r="P15" s="28">
        <v>46202</v>
      </c>
      <c r="Q15" s="25" t="s">
        <v>46</v>
      </c>
      <c r="R15" s="45"/>
      <c r="S15" s="45"/>
      <c r="T15" s="45"/>
      <c r="U15" s="45"/>
      <c r="V15" s="45"/>
      <c r="W15" s="41"/>
      <c r="X15" s="45" t="s">
        <v>103</v>
      </c>
      <c r="Y15" s="45" t="s">
        <v>29</v>
      </c>
      <c r="Z15" s="45"/>
    </row>
    <row r="16" spans="1:31" ht="28">
      <c r="A16" s="68">
        <v>14</v>
      </c>
      <c r="B16" s="45" t="s">
        <v>97</v>
      </c>
      <c r="C16" s="45" t="s">
        <v>98</v>
      </c>
      <c r="D16" s="41" t="s">
        <v>107</v>
      </c>
      <c r="E16" s="41">
        <f t="shared" si="1"/>
        <v>18</v>
      </c>
      <c r="F16" s="68">
        <v>2.95</v>
      </c>
      <c r="G16" s="76">
        <v>12</v>
      </c>
      <c r="H16" s="41" t="s">
        <v>24</v>
      </c>
      <c r="I16" s="41"/>
      <c r="J16" s="41" t="s">
        <v>101</v>
      </c>
      <c r="K16" s="23" t="s">
        <v>26</v>
      </c>
      <c r="L16" s="23" t="s">
        <v>26</v>
      </c>
      <c r="M16" s="23" t="s">
        <v>26</v>
      </c>
      <c r="N16" s="28">
        <v>46101</v>
      </c>
      <c r="O16" s="27" t="s">
        <v>108</v>
      </c>
      <c r="P16" s="28">
        <v>46182</v>
      </c>
      <c r="Q16" s="25" t="s">
        <v>46</v>
      </c>
      <c r="R16" s="45"/>
      <c r="S16" s="45"/>
      <c r="T16" s="45"/>
      <c r="U16" s="45"/>
      <c r="V16" s="45"/>
      <c r="W16" s="41"/>
      <c r="X16" s="45" t="s">
        <v>103</v>
      </c>
      <c r="Y16" s="45" t="s">
        <v>29</v>
      </c>
      <c r="Z16" s="45"/>
    </row>
    <row r="17" spans="1:30">
      <c r="A17" s="68">
        <v>15</v>
      </c>
      <c r="B17" s="45" t="s">
        <v>109</v>
      </c>
      <c r="C17" s="45" t="s">
        <v>110</v>
      </c>
      <c r="D17" s="41" t="s">
        <v>111</v>
      </c>
      <c r="E17" s="43">
        <f>G17*1.5</f>
        <v>1.7025000000000001</v>
      </c>
      <c r="F17" s="45"/>
      <c r="G17" s="76">
        <v>1.135</v>
      </c>
      <c r="H17" s="41" t="s">
        <v>32</v>
      </c>
      <c r="I17" s="41"/>
      <c r="J17" s="71"/>
      <c r="K17" s="72"/>
      <c r="L17" s="45"/>
      <c r="M17" s="45"/>
      <c r="N17" s="28">
        <v>45958</v>
      </c>
      <c r="O17" s="28">
        <v>46021</v>
      </c>
      <c r="P17" s="28">
        <v>45733</v>
      </c>
      <c r="Q17" s="28">
        <v>45775</v>
      </c>
      <c r="R17" s="28">
        <v>46176</v>
      </c>
      <c r="S17" s="28">
        <v>46202</v>
      </c>
      <c r="T17" s="23" t="s">
        <v>26</v>
      </c>
      <c r="U17" s="24">
        <v>46229</v>
      </c>
      <c r="V17" s="25" t="s">
        <v>46</v>
      </c>
      <c r="W17" s="41"/>
      <c r="X17" s="47" t="s">
        <v>35</v>
      </c>
      <c r="Y17" s="41" t="s">
        <v>72</v>
      </c>
      <c r="Z17" s="45"/>
      <c r="AD17" s="63" t="s">
        <v>73</v>
      </c>
    </row>
    <row r="18" spans="1:30" ht="28">
      <c r="A18" s="68">
        <v>16</v>
      </c>
      <c r="B18" s="45" t="s">
        <v>112</v>
      </c>
      <c r="C18" s="45" t="s">
        <v>113</v>
      </c>
      <c r="D18" s="41" t="s">
        <v>114</v>
      </c>
      <c r="E18" s="49">
        <v>8.68</v>
      </c>
      <c r="F18" s="45"/>
      <c r="G18" s="77">
        <v>6.2</v>
      </c>
      <c r="H18" s="41" t="s">
        <v>100</v>
      </c>
      <c r="I18" s="41"/>
      <c r="J18" s="41" t="s">
        <v>101</v>
      </c>
      <c r="K18" s="45"/>
      <c r="L18" s="45"/>
      <c r="M18" s="45"/>
      <c r="N18" s="28">
        <v>46087</v>
      </c>
      <c r="O18" s="28">
        <v>45499</v>
      </c>
      <c r="P18" s="28">
        <v>46171</v>
      </c>
      <c r="Q18" s="28">
        <v>46206</v>
      </c>
      <c r="R18" s="28">
        <v>46224</v>
      </c>
      <c r="S18" s="28">
        <v>46239</v>
      </c>
      <c r="T18" s="28">
        <v>46246</v>
      </c>
      <c r="U18" s="24">
        <v>46249</v>
      </c>
      <c r="V18" s="25" t="s">
        <v>46</v>
      </c>
      <c r="W18" s="41"/>
      <c r="X18" s="41" t="s">
        <v>103</v>
      </c>
      <c r="Y18" s="41" t="s">
        <v>72</v>
      </c>
      <c r="Z18" s="47">
        <v>46142</v>
      </c>
    </row>
    <row r="19" spans="1:30" ht="28">
      <c r="A19" s="68">
        <v>17</v>
      </c>
      <c r="B19" s="45" t="s">
        <v>115</v>
      </c>
      <c r="C19" s="45" t="s">
        <v>116</v>
      </c>
      <c r="D19" s="41" t="s">
        <v>88</v>
      </c>
      <c r="E19" s="49">
        <f>G19*1.5</f>
        <v>1.2000000000000002</v>
      </c>
      <c r="F19" s="45"/>
      <c r="G19" s="77">
        <v>0.8</v>
      </c>
      <c r="H19" s="41" t="s">
        <v>32</v>
      </c>
      <c r="I19" s="41" t="s">
        <v>117</v>
      </c>
      <c r="J19" s="41" t="s">
        <v>118</v>
      </c>
      <c r="K19" s="45"/>
      <c r="L19" s="45"/>
      <c r="M19" s="45"/>
      <c r="N19" s="28">
        <v>46094</v>
      </c>
      <c r="O19" s="28">
        <v>46170</v>
      </c>
      <c r="P19" s="28">
        <v>46163</v>
      </c>
      <c r="Q19" s="28">
        <v>46185</v>
      </c>
      <c r="R19" s="28">
        <v>46218</v>
      </c>
      <c r="S19" s="28">
        <v>46248</v>
      </c>
      <c r="T19" s="23" t="s">
        <v>26</v>
      </c>
      <c r="U19" s="24">
        <v>46261</v>
      </c>
      <c r="V19" s="25" t="s">
        <v>46</v>
      </c>
      <c r="W19" s="41"/>
      <c r="X19" s="41" t="s">
        <v>35</v>
      </c>
      <c r="Y19" s="41" t="s">
        <v>29</v>
      </c>
      <c r="Z19" s="47">
        <v>46120</v>
      </c>
    </row>
    <row r="20" spans="1:30" ht="28">
      <c r="A20" s="68">
        <v>17</v>
      </c>
      <c r="B20" s="45" t="s">
        <v>115</v>
      </c>
      <c r="C20" s="45" t="s">
        <v>116</v>
      </c>
      <c r="D20" s="41" t="s">
        <v>119</v>
      </c>
      <c r="E20" s="77">
        <v>0.8</v>
      </c>
      <c r="F20" s="41" t="s">
        <v>32</v>
      </c>
      <c r="G20" s="45">
        <v>1.1000000000000001</v>
      </c>
      <c r="H20" s="45"/>
      <c r="I20" s="45"/>
      <c r="J20" s="28">
        <v>46094</v>
      </c>
      <c r="K20" s="45"/>
      <c r="L20" s="45"/>
      <c r="M20" s="45"/>
      <c r="N20" s="28">
        <v>46225</v>
      </c>
      <c r="O20" s="25" t="s">
        <v>46</v>
      </c>
      <c r="P20" s="41"/>
      <c r="Q20" s="45"/>
      <c r="R20" s="45"/>
      <c r="S20" s="41" t="s">
        <v>120</v>
      </c>
      <c r="T20" s="41" t="s">
        <v>35</v>
      </c>
      <c r="U20" s="41" t="s">
        <v>29</v>
      </c>
      <c r="V20" s="47">
        <v>46120</v>
      </c>
    </row>
  </sheetData>
  <autoFilter ref="A2:AC20" xr:uid="{A3D7CA37-A581-4163-A619-3A1054EB8C9C}"/>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F80F0-5964-4081-B512-6CF22B77AB56}">
  <dimension ref="C2:J10"/>
  <sheetViews>
    <sheetView workbookViewId="0">
      <selection activeCell="D20" sqref="D20"/>
    </sheetView>
  </sheetViews>
  <sheetFormatPr defaultRowHeight="14.5"/>
  <cols>
    <col min="3" max="3" width="36.26953125" bestFit="1" customWidth="1"/>
    <col min="4" max="4" width="15.1796875" bestFit="1" customWidth="1"/>
    <col min="5" max="5" width="7.26953125" bestFit="1" customWidth="1"/>
    <col min="6" max="6" width="11.81640625" bestFit="1" customWidth="1"/>
    <col min="7" max="7" width="10.7265625" customWidth="1"/>
    <col min="9" max="9" width="34.54296875" bestFit="1" customWidth="1"/>
    <col min="10" max="10" width="11.26953125" bestFit="1" customWidth="1"/>
  </cols>
  <sheetData>
    <row r="2" spans="3:10">
      <c r="C2" s="62" t="s">
        <v>121</v>
      </c>
      <c r="D2" s="61" t="s">
        <v>122</v>
      </c>
      <c r="E2" s="61" t="s">
        <v>123</v>
      </c>
      <c r="F2" s="61" t="s">
        <v>124</v>
      </c>
      <c r="I2" s="61" t="s">
        <v>125</v>
      </c>
      <c r="J2" s="74">
        <f>G5+G10</f>
        <v>173200</v>
      </c>
    </row>
    <row r="3" spans="3:10">
      <c r="C3" s="61" t="s">
        <v>126</v>
      </c>
      <c r="D3" s="73">
        <v>50000</v>
      </c>
      <c r="E3" s="73">
        <f>18%*D3</f>
        <v>9000</v>
      </c>
      <c r="F3" s="73">
        <v>0</v>
      </c>
      <c r="I3" s="61" t="s">
        <v>127</v>
      </c>
      <c r="J3" s="74">
        <f>J2*3</f>
        <v>519600</v>
      </c>
    </row>
    <row r="4" spans="3:10">
      <c r="C4" s="61" t="s">
        <v>128</v>
      </c>
      <c r="D4" s="73">
        <v>20000</v>
      </c>
      <c r="E4" s="73">
        <f>18%*D4</f>
        <v>3600</v>
      </c>
      <c r="F4" s="73">
        <v>15000</v>
      </c>
      <c r="I4" s="61" t="s">
        <v>129</v>
      </c>
      <c r="J4" s="74">
        <f>G5*3+G10*3*4</f>
        <v>1200000</v>
      </c>
    </row>
    <row r="5" spans="3:10">
      <c r="C5" s="61" t="s">
        <v>130</v>
      </c>
      <c r="D5" s="73">
        <f>SUM(D3:D4)</f>
        <v>70000</v>
      </c>
      <c r="E5" s="73">
        <f t="shared" ref="E5:F5" si="0">SUM(E3:E4)</f>
        <v>12600</v>
      </c>
      <c r="F5" s="73">
        <f t="shared" si="0"/>
        <v>15000</v>
      </c>
      <c r="G5" s="75">
        <f>SUM(D5:F5)</f>
        <v>97600</v>
      </c>
    </row>
    <row r="7" spans="3:10">
      <c r="C7" s="62" t="s">
        <v>131</v>
      </c>
      <c r="D7" s="61" t="s">
        <v>122</v>
      </c>
      <c r="E7" s="61" t="s">
        <v>123</v>
      </c>
      <c r="F7" s="61" t="s">
        <v>124</v>
      </c>
    </row>
    <row r="8" spans="3:10">
      <c r="C8" s="61" t="s">
        <v>132</v>
      </c>
      <c r="D8" s="73">
        <v>20000</v>
      </c>
      <c r="E8" s="73">
        <f>18%*D8</f>
        <v>3600</v>
      </c>
      <c r="F8" s="73">
        <v>7000</v>
      </c>
    </row>
    <row r="9" spans="3:10">
      <c r="C9" s="61" t="s">
        <v>133</v>
      </c>
      <c r="D9" s="73"/>
      <c r="E9" s="73"/>
      <c r="F9" s="73">
        <f>1500*30</f>
        <v>45000</v>
      </c>
    </row>
    <row r="10" spans="3:10">
      <c r="C10" s="61" t="s">
        <v>130</v>
      </c>
      <c r="D10" s="73">
        <f>SUM(D8:D9)</f>
        <v>20000</v>
      </c>
      <c r="E10" s="73">
        <f t="shared" ref="E10" si="1">SUM(E8:E9)</f>
        <v>3600</v>
      </c>
      <c r="F10" s="73">
        <f t="shared" ref="F10" si="2">SUM(F8:F9)</f>
        <v>52000</v>
      </c>
      <c r="G10" s="75">
        <f>SUM(D10:F10)</f>
        <v>75600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CE3E-E31E-4C81-906D-F151E8F2F524}">
  <dimension ref="A2:E9"/>
  <sheetViews>
    <sheetView workbookViewId="0">
      <selection activeCell="G11" sqref="G11"/>
    </sheetView>
  </sheetViews>
  <sheetFormatPr defaultColWidth="8.7265625" defaultRowHeight="14.5"/>
  <cols>
    <col min="1" max="1" width="17.7265625" style="16" bestFit="1" customWidth="1"/>
    <col min="2" max="2" width="18.26953125" bestFit="1" customWidth="1"/>
    <col min="3" max="3" width="9.453125" bestFit="1" customWidth="1"/>
    <col min="4" max="4" width="12.26953125" customWidth="1"/>
    <col min="5" max="5" width="13.7265625" customWidth="1"/>
  </cols>
  <sheetData>
    <row r="2" spans="1:5" s="21" customFormat="1" ht="29">
      <c r="A2" s="19"/>
      <c r="B2" s="20" t="s">
        <v>134</v>
      </c>
      <c r="C2" s="20" t="s">
        <v>135</v>
      </c>
      <c r="D2" s="20" t="s">
        <v>136</v>
      </c>
      <c r="E2" s="20" t="s">
        <v>137</v>
      </c>
    </row>
    <row r="3" spans="1:5">
      <c r="A3" s="17" t="s">
        <v>10</v>
      </c>
      <c r="B3" s="18">
        <v>45971</v>
      </c>
      <c r="C3" s="18">
        <v>46059</v>
      </c>
      <c r="D3" s="18">
        <v>46098</v>
      </c>
      <c r="E3" s="18">
        <v>46112</v>
      </c>
    </row>
    <row r="4" spans="1:5">
      <c r="A4" s="17" t="s">
        <v>11</v>
      </c>
      <c r="B4" s="18">
        <v>46044</v>
      </c>
      <c r="C4" s="18">
        <v>46076</v>
      </c>
      <c r="D4" s="18">
        <v>46098</v>
      </c>
      <c r="E4" s="18">
        <v>46101</v>
      </c>
    </row>
    <row r="5" spans="1:5" ht="29">
      <c r="A5" s="17" t="s">
        <v>138</v>
      </c>
      <c r="B5" s="14" t="s">
        <v>139</v>
      </c>
      <c r="C5" s="14" t="s">
        <v>139</v>
      </c>
      <c r="D5" s="18">
        <v>46064</v>
      </c>
      <c r="E5" s="18"/>
    </row>
    <row r="6" spans="1:5">
      <c r="A6" s="17" t="s">
        <v>140</v>
      </c>
      <c r="B6" s="18">
        <v>46049</v>
      </c>
      <c r="C6" s="18">
        <v>46097</v>
      </c>
      <c r="D6" s="18">
        <v>46010</v>
      </c>
      <c r="E6" s="18">
        <v>46065</v>
      </c>
    </row>
    <row r="7" spans="1:5">
      <c r="A7" s="17" t="s">
        <v>12</v>
      </c>
      <c r="B7" s="18">
        <v>46063</v>
      </c>
      <c r="C7" s="18">
        <v>46140</v>
      </c>
      <c r="D7" s="18">
        <v>46140</v>
      </c>
      <c r="E7" s="18">
        <v>46126</v>
      </c>
    </row>
    <row r="8" spans="1:5" ht="29">
      <c r="A8" s="17" t="s">
        <v>141</v>
      </c>
      <c r="B8" s="18">
        <v>46100</v>
      </c>
      <c r="C8" s="14" t="s">
        <v>46</v>
      </c>
      <c r="D8" s="14" t="s">
        <v>139</v>
      </c>
      <c r="E8" s="14" t="s">
        <v>139</v>
      </c>
    </row>
    <row r="9" spans="1:5" s="15" customFormat="1" ht="43.5">
      <c r="A9" s="17" t="s">
        <v>142</v>
      </c>
      <c r="B9" s="14" t="s">
        <v>143</v>
      </c>
      <c r="C9" s="14"/>
      <c r="D9" s="14"/>
      <c r="E9" s="14" t="s">
        <v>144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52DF2-1DD2-466D-99EC-5FFF5ED0A0EF}">
  <dimension ref="C3:G11"/>
  <sheetViews>
    <sheetView workbookViewId="0">
      <selection activeCell="I10" sqref="I10"/>
    </sheetView>
  </sheetViews>
  <sheetFormatPr defaultColWidth="8.7265625" defaultRowHeight="14.5"/>
  <cols>
    <col min="4" max="4" width="9.453125" bestFit="1" customWidth="1"/>
    <col min="5" max="5" width="9.7265625" bestFit="1" customWidth="1"/>
    <col min="7" max="7" width="11.1796875" bestFit="1" customWidth="1"/>
  </cols>
  <sheetData>
    <row r="3" spans="3:7">
      <c r="C3" t="s">
        <v>145</v>
      </c>
      <c r="D3" t="s">
        <v>146</v>
      </c>
      <c r="E3" t="s">
        <v>147</v>
      </c>
    </row>
    <row r="6" spans="3:7">
      <c r="C6" t="s">
        <v>148</v>
      </c>
      <c r="D6" t="s">
        <v>66</v>
      </c>
      <c r="E6" t="s">
        <v>149</v>
      </c>
      <c r="F6">
        <v>55</v>
      </c>
      <c r="G6" s="26">
        <v>45895</v>
      </c>
    </row>
    <row r="7" spans="3:7">
      <c r="C7" t="s">
        <v>148</v>
      </c>
      <c r="D7" t="s">
        <v>66</v>
      </c>
      <c r="E7" t="s">
        <v>150</v>
      </c>
      <c r="F7">
        <v>30</v>
      </c>
      <c r="G7" s="26">
        <v>45894</v>
      </c>
    </row>
    <row r="8" spans="3:7">
      <c r="C8" t="s">
        <v>151</v>
      </c>
      <c r="D8" t="s">
        <v>116</v>
      </c>
      <c r="E8" t="s">
        <v>149</v>
      </c>
      <c r="F8">
        <v>3</v>
      </c>
      <c r="G8" s="26">
        <v>45895</v>
      </c>
    </row>
    <row r="9" spans="3:7">
      <c r="C9" t="s">
        <v>152</v>
      </c>
      <c r="D9" t="s">
        <v>113</v>
      </c>
      <c r="E9" t="s">
        <v>149</v>
      </c>
      <c r="F9">
        <v>35</v>
      </c>
      <c r="G9" s="26">
        <v>45898</v>
      </c>
    </row>
    <row r="10" spans="3:7">
      <c r="C10" t="s">
        <v>153</v>
      </c>
      <c r="D10" t="s">
        <v>110</v>
      </c>
      <c r="E10" t="s">
        <v>149</v>
      </c>
      <c r="F10">
        <v>7.9649999999999999</v>
      </c>
      <c r="G10" s="26">
        <v>45898</v>
      </c>
    </row>
    <row r="11" spans="3:7">
      <c r="C11" t="s">
        <v>154</v>
      </c>
      <c r="D11" t="s">
        <v>155</v>
      </c>
      <c r="E11" t="s">
        <v>149</v>
      </c>
      <c r="F11">
        <v>10</v>
      </c>
      <c r="G11" s="26">
        <v>45895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190C-6CD6-482A-8266-A3971B212E81}">
  <dimension ref="A1:C17"/>
  <sheetViews>
    <sheetView workbookViewId="0">
      <selection activeCell="B8" sqref="B8"/>
    </sheetView>
  </sheetViews>
  <sheetFormatPr defaultColWidth="18.453125" defaultRowHeight="13"/>
  <cols>
    <col min="1" max="1" width="39.453125" style="3" customWidth="1"/>
    <col min="2" max="2" width="18.453125" style="3"/>
    <col min="3" max="3" width="43.7265625" style="3" customWidth="1"/>
    <col min="4" max="16384" width="18.453125" style="3"/>
  </cols>
  <sheetData>
    <row r="1" spans="1:3">
      <c r="A1" s="1" t="s">
        <v>156</v>
      </c>
      <c r="B1" s="2" t="s">
        <v>157</v>
      </c>
      <c r="C1" s="2" t="s">
        <v>16</v>
      </c>
    </row>
    <row r="2" spans="1:3">
      <c r="A2" s="4" t="s">
        <v>158</v>
      </c>
      <c r="B2" s="5">
        <v>45708</v>
      </c>
      <c r="C2" s="6"/>
    </row>
    <row r="3" spans="1:3">
      <c r="A3" s="4" t="s">
        <v>11</v>
      </c>
      <c r="B3" s="5">
        <v>45727</v>
      </c>
      <c r="C3" s="6"/>
    </row>
    <row r="4" spans="1:3">
      <c r="A4" s="4" t="s">
        <v>38</v>
      </c>
      <c r="B4" s="5">
        <v>45729</v>
      </c>
      <c r="C4" s="6"/>
    </row>
    <row r="5" spans="1:3">
      <c r="A5" s="4" t="s">
        <v>159</v>
      </c>
      <c r="B5" s="5">
        <v>45745</v>
      </c>
      <c r="C5" s="6"/>
    </row>
    <row r="6" spans="1:3">
      <c r="A6" s="4" t="s">
        <v>160</v>
      </c>
      <c r="B6" s="5">
        <v>45895</v>
      </c>
      <c r="C6" s="6"/>
    </row>
    <row r="7" spans="1:3" ht="26">
      <c r="A7" s="4" t="s">
        <v>161</v>
      </c>
      <c r="B7" s="7">
        <v>45903</v>
      </c>
      <c r="C7" s="8" t="s">
        <v>162</v>
      </c>
    </row>
    <row r="8" spans="1:3" ht="156">
      <c r="A8" s="9" t="s">
        <v>163</v>
      </c>
      <c r="B8" s="10"/>
      <c r="C8" s="11" t="s">
        <v>164</v>
      </c>
    </row>
    <row r="9" spans="1:3">
      <c r="A9" s="9" t="s">
        <v>165</v>
      </c>
      <c r="B9" s="12">
        <v>45979</v>
      </c>
      <c r="C9" s="13"/>
    </row>
    <row r="10" spans="1:3">
      <c r="A10" s="9" t="s">
        <v>166</v>
      </c>
      <c r="B10" s="12">
        <v>45980</v>
      </c>
      <c r="C10" s="10"/>
    </row>
    <row r="11" spans="1:3">
      <c r="A11" s="4" t="s">
        <v>167</v>
      </c>
      <c r="B11" s="5">
        <v>45981</v>
      </c>
      <c r="C11" s="6"/>
    </row>
    <row r="12" spans="1:3" ht="26">
      <c r="A12" s="4" t="s">
        <v>168</v>
      </c>
      <c r="B12" s="5">
        <v>45988</v>
      </c>
      <c r="C12" s="6"/>
    </row>
    <row r="13" spans="1:3" ht="52">
      <c r="A13" s="4" t="s">
        <v>169</v>
      </c>
      <c r="B13" s="5">
        <v>46049</v>
      </c>
      <c r="C13" s="6" t="s">
        <v>170</v>
      </c>
    </row>
    <row r="14" spans="1:3" ht="26">
      <c r="A14" s="4" t="s">
        <v>171</v>
      </c>
      <c r="B14" s="5">
        <v>46069</v>
      </c>
      <c r="C14" s="6" t="s">
        <v>172</v>
      </c>
    </row>
    <row r="15" spans="1:3" ht="26">
      <c r="A15" s="4" t="s">
        <v>173</v>
      </c>
      <c r="B15" s="5" t="s">
        <v>174</v>
      </c>
      <c r="C15" s="6"/>
    </row>
    <row r="16" spans="1:3" ht="39">
      <c r="A16" s="4" t="s">
        <v>175</v>
      </c>
      <c r="B16" s="6" t="s">
        <v>176</v>
      </c>
      <c r="C16" s="6" t="s">
        <v>177</v>
      </c>
    </row>
    <row r="17" spans="1:3" ht="39">
      <c r="A17" s="4" t="s">
        <v>178</v>
      </c>
      <c r="B17" s="6" t="s">
        <v>179</v>
      </c>
      <c r="C17"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1f2d0fa-3acd-4a9b-8909-5cf735e778c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4DD0317CE7FF4E813E8DBD2C0622C3" ma:contentTypeVersion="10" ma:contentTypeDescription="Create a new document." ma:contentTypeScope="" ma:versionID="2832d94a74db27591f1c3dd9745d35b1">
  <xsd:schema xmlns:xsd="http://www.w3.org/2001/XMLSchema" xmlns:xs="http://www.w3.org/2001/XMLSchema" xmlns:p="http://schemas.microsoft.com/office/2006/metadata/properties" xmlns:ns2="f1f2d0fa-3acd-4a9b-8909-5cf735e778c4" targetNamespace="http://schemas.microsoft.com/office/2006/metadata/properties" ma:root="true" ma:fieldsID="467d84edff1d29337ecfe908acfbccc3" ns2:_="">
    <xsd:import namespace="f1f2d0fa-3acd-4a9b-8909-5cf735e778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f2d0fa-3acd-4a9b-8909-5cf735e778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22414f6-c180-4e7d-bb62-83106307eb6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7B27C0-DD15-4603-B48F-14FDC604289C}">
  <ds:schemaRefs>
    <ds:schemaRef ds:uri="http://schemas.microsoft.com/office/2006/metadata/properties"/>
    <ds:schemaRef ds:uri="http://schemas.microsoft.com/office/infopath/2007/PartnerControls"/>
    <ds:schemaRef ds:uri="f1f2d0fa-3acd-4a9b-8909-5cf735e778c4"/>
  </ds:schemaRefs>
</ds:datastoreItem>
</file>

<file path=customXml/itemProps2.xml><?xml version="1.0" encoding="utf-8"?>
<ds:datastoreItem xmlns:ds="http://schemas.openxmlformats.org/officeDocument/2006/customXml" ds:itemID="{BFEA6E76-203E-47A0-990F-1F77E311D9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f2d0fa-3acd-4a9b-8909-5cf735e778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0DE347-3618-45FC-BCF2-DD893CB5F4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other</vt:lpstr>
      <vt:lpstr>Elin</vt:lpstr>
      <vt:lpstr>UP LTOA approvals</vt:lpstr>
      <vt:lpstr>UTCL STOA Cost</vt:lpstr>
      <vt:lpstr>NREPL-approval timeline</vt:lpstr>
      <vt:lpstr>Sheet1</vt:lpstr>
      <vt:lpstr>JSL Timeline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Megha Singh</dc:creator>
  <cp:keywords/>
  <dc:description/>
  <cp:lastModifiedBy>Sanjay Kumar - Regulatory</cp:lastModifiedBy>
  <cp:revision/>
  <dcterms:created xsi:type="dcterms:W3CDTF">2015-06-05T18:17:20Z</dcterms:created>
  <dcterms:modified xsi:type="dcterms:W3CDTF">2026-09-14T16:28:51Z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c28ed5-c9bb-4879-922c-85ec582494da_Enabled">
    <vt:lpwstr>true</vt:lpwstr>
  </property>
  <property fmtid="{D5CDD505-2E9C-101B-9397-08002B2CF9AE}" pid="3" name="MSIP_Label_f7c28ed5-c9bb-4879-922c-85ec582494da_SetDate">
    <vt:lpwstr>2026-01-28T05:39:40Z</vt:lpwstr>
  </property>
  <property fmtid="{D5CDD505-2E9C-101B-9397-08002B2CF9AE}" pid="4" name="MSIP_Label_f7c28ed5-c9bb-4879-922c-85ec582494da_Method">
    <vt:lpwstr>Standard</vt:lpwstr>
  </property>
  <property fmtid="{D5CDD505-2E9C-101B-9397-08002B2CF9AE}" pid="5" name="MSIP_Label_f7c28ed5-c9bb-4879-922c-85ec582494da_Name">
    <vt:lpwstr>Public</vt:lpwstr>
  </property>
  <property fmtid="{D5CDD505-2E9C-101B-9397-08002B2CF9AE}" pid="6" name="MSIP_Label_f7c28ed5-c9bb-4879-922c-85ec582494da_SiteId">
    <vt:lpwstr>ba61701a-1a85-48fc-b901-a261db951360</vt:lpwstr>
  </property>
  <property fmtid="{D5CDD505-2E9C-101B-9397-08002B2CF9AE}" pid="7" name="MSIP_Label_f7c28ed5-c9bb-4879-922c-85ec582494da_ActionId">
    <vt:lpwstr>e4900e38-e3ed-4dde-ae06-cc235f97746f</vt:lpwstr>
  </property>
  <property fmtid="{D5CDD505-2E9C-101B-9397-08002B2CF9AE}" pid="8" name="MSIP_Label_f7c28ed5-c9bb-4879-922c-85ec582494da_ContentBits">
    <vt:lpwstr>0</vt:lpwstr>
  </property>
  <property fmtid="{D5CDD505-2E9C-101B-9397-08002B2CF9AE}" pid="9" name="MSIP_Label_f7c28ed5-c9bb-4879-922c-85ec582494da_Tag">
    <vt:lpwstr>10, 3, 0, 1</vt:lpwstr>
  </property>
  <property fmtid="{D5CDD505-2E9C-101B-9397-08002B2CF9AE}" pid="10" name="ContentTypeId">
    <vt:lpwstr>0x010100F84DD0317CE7FF4E813E8DBD2C0622C3</vt:lpwstr>
  </property>
  <property fmtid="{D5CDD505-2E9C-101B-9397-08002B2CF9AE}" pid="11" name="MediaServiceImageTags">
    <vt:lpwstr/>
  </property>
</Properties>
</file>